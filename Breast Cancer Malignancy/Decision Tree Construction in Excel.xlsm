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709" codeName="{7A2D7E96-6E34-419A-AE5F-296B3A7E7977}"/>
  <workbookPr codeName="ThisWorkbook" autoCompressPictures="0"/>
  <bookViews>
    <workbookView xWindow="60" yWindow="0" windowWidth="23100" windowHeight="14100" tabRatio="500" activeTab="1"/>
  </bookViews>
  <sheets>
    <sheet name="Attributes" sheetId="1" r:id="rId1"/>
    <sheet name="Calculating Information Gain" sheetId="2" r:id="rId2"/>
    <sheet name="Decision Tree" sheetId="3" r:id="rId3"/>
  </sheets>
  <definedNames>
    <definedName name="_p">Attributes!$K$27</definedName>
    <definedName name="_p2">Attributes!$K$69</definedName>
    <definedName name="_p3">Attributes!$W$69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01" i="2" l="1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T277" i="2"/>
  <c r="K277" i="2"/>
  <c r="K276" i="2"/>
  <c r="K275" i="2"/>
  <c r="T274" i="2"/>
  <c r="K274" i="2"/>
  <c r="K273" i="2"/>
  <c r="T272" i="2"/>
  <c r="K272" i="2"/>
  <c r="K271" i="2"/>
  <c r="T270" i="2"/>
  <c r="K270" i="2"/>
  <c r="K269" i="2"/>
  <c r="T268" i="2"/>
  <c r="K268" i="2"/>
  <c r="K267" i="2"/>
  <c r="T266" i="2"/>
  <c r="K266" i="2"/>
  <c r="N264" i="2"/>
  <c r="O264" i="2"/>
  <c r="P264" i="2"/>
  <c r="Q264" i="2"/>
  <c r="R264" i="2"/>
  <c r="S264" i="2"/>
  <c r="T264" i="2"/>
  <c r="U264" i="2"/>
  <c r="V264" i="2"/>
  <c r="N265" i="2"/>
  <c r="K265" i="2"/>
  <c r="K264" i="2"/>
  <c r="T263" i="2"/>
  <c r="K263" i="2"/>
  <c r="K262" i="2"/>
  <c r="K261" i="2"/>
  <c r="T260" i="2"/>
  <c r="K260" i="2"/>
  <c r="K259" i="2"/>
  <c r="T258" i="2"/>
  <c r="K258" i="2"/>
  <c r="K257" i="2"/>
  <c r="T256" i="2"/>
  <c r="K256" i="2"/>
  <c r="K255" i="2"/>
  <c r="T254" i="2"/>
  <c r="K254" i="2"/>
  <c r="K253" i="2"/>
  <c r="T252" i="2"/>
  <c r="K252" i="2"/>
  <c r="K251" i="2"/>
  <c r="T250" i="2"/>
  <c r="K250" i="2"/>
  <c r="N248" i="2"/>
  <c r="O248" i="2"/>
  <c r="P248" i="2"/>
  <c r="Q248" i="2"/>
  <c r="R248" i="2"/>
  <c r="S248" i="2"/>
  <c r="T248" i="2"/>
  <c r="U248" i="2"/>
  <c r="V248" i="2"/>
  <c r="N249" i="2"/>
  <c r="K249" i="2"/>
  <c r="K248" i="2"/>
  <c r="T247" i="2"/>
  <c r="K247" i="2"/>
  <c r="K246" i="2"/>
  <c r="T245" i="2"/>
  <c r="K245" i="2"/>
  <c r="K244" i="2"/>
  <c r="T243" i="2"/>
  <c r="K243" i="2"/>
  <c r="N241" i="2"/>
  <c r="O241" i="2"/>
  <c r="P241" i="2"/>
  <c r="Q241" i="2"/>
  <c r="R241" i="2"/>
  <c r="S241" i="2"/>
  <c r="T241" i="2"/>
  <c r="U241" i="2"/>
  <c r="V241" i="2"/>
  <c r="N242" i="2"/>
  <c r="K242" i="2"/>
  <c r="K241" i="2"/>
  <c r="T240" i="2"/>
  <c r="K240" i="2"/>
  <c r="K239" i="2"/>
  <c r="K238" i="2"/>
  <c r="T237" i="2"/>
  <c r="K237" i="2"/>
  <c r="K236" i="2"/>
  <c r="T235" i="2"/>
  <c r="K235" i="2"/>
  <c r="K234" i="2"/>
  <c r="T233" i="2"/>
  <c r="K233" i="2"/>
  <c r="K232" i="2"/>
  <c r="T231" i="2"/>
  <c r="K231" i="2"/>
  <c r="K230" i="2"/>
  <c r="T229" i="2"/>
  <c r="K229" i="2"/>
  <c r="K228" i="2"/>
  <c r="T227" i="2"/>
  <c r="K227" i="2"/>
  <c r="K226" i="2"/>
  <c r="T225" i="2"/>
  <c r="K225" i="2"/>
  <c r="N223" i="2"/>
  <c r="O223" i="2"/>
  <c r="P223" i="2"/>
  <c r="Q223" i="2"/>
  <c r="R223" i="2"/>
  <c r="S223" i="2"/>
  <c r="T223" i="2"/>
  <c r="U223" i="2"/>
  <c r="V223" i="2"/>
  <c r="N224" i="2"/>
  <c r="K224" i="2"/>
  <c r="K223" i="2"/>
  <c r="T222" i="2"/>
  <c r="K222" i="2"/>
  <c r="K221" i="2"/>
  <c r="K220" i="2"/>
  <c r="K219" i="2"/>
  <c r="T218" i="2"/>
  <c r="K218" i="2"/>
  <c r="K217" i="2"/>
  <c r="T216" i="2"/>
  <c r="K216" i="2"/>
  <c r="K215" i="2"/>
  <c r="T214" i="2"/>
  <c r="K214" i="2"/>
  <c r="K213" i="2"/>
  <c r="T212" i="2"/>
  <c r="K212" i="2"/>
  <c r="K211" i="2"/>
  <c r="T210" i="2"/>
  <c r="K210" i="2"/>
  <c r="K209" i="2"/>
  <c r="T208" i="2"/>
  <c r="K208" i="2"/>
  <c r="K207" i="2"/>
  <c r="T206" i="2"/>
  <c r="K206" i="2"/>
  <c r="K205" i="2"/>
  <c r="T204" i="2"/>
  <c r="K204" i="2"/>
  <c r="N202" i="2"/>
  <c r="O202" i="2"/>
  <c r="P202" i="2"/>
  <c r="Q202" i="2"/>
  <c r="R202" i="2"/>
  <c r="S202" i="2"/>
  <c r="T202" i="2"/>
  <c r="U202" i="2"/>
  <c r="V202" i="2"/>
  <c r="N203" i="2"/>
  <c r="K203" i="2"/>
  <c r="K202" i="2"/>
  <c r="T201" i="2"/>
  <c r="K201" i="2"/>
  <c r="K200" i="2"/>
  <c r="K199" i="2"/>
  <c r="K198" i="2"/>
  <c r="T197" i="2"/>
  <c r="K197" i="2"/>
  <c r="K196" i="2"/>
  <c r="K195" i="2"/>
  <c r="T194" i="2"/>
  <c r="K194" i="2"/>
  <c r="K193" i="2"/>
  <c r="T192" i="2"/>
  <c r="K192" i="2"/>
  <c r="K191" i="2"/>
  <c r="T190" i="2"/>
  <c r="K190" i="2"/>
  <c r="K189" i="2"/>
  <c r="T188" i="2"/>
  <c r="K188" i="2"/>
  <c r="K187" i="2"/>
  <c r="T186" i="2"/>
  <c r="K186" i="2"/>
  <c r="K185" i="2"/>
  <c r="T184" i="2"/>
  <c r="K184" i="2"/>
  <c r="K183" i="2"/>
  <c r="T182" i="2"/>
  <c r="K182" i="2"/>
  <c r="N180" i="2"/>
  <c r="O180" i="2"/>
  <c r="P180" i="2"/>
  <c r="Q180" i="2"/>
  <c r="R180" i="2"/>
  <c r="S180" i="2"/>
  <c r="T180" i="2"/>
  <c r="U180" i="2"/>
  <c r="V180" i="2"/>
  <c r="N181" i="2"/>
  <c r="K181" i="2"/>
  <c r="K180" i="2"/>
  <c r="T179" i="2"/>
  <c r="K179" i="2"/>
  <c r="K178" i="2"/>
  <c r="T177" i="2"/>
  <c r="K177" i="2"/>
  <c r="K176" i="2"/>
  <c r="T175" i="2"/>
  <c r="K175" i="2"/>
  <c r="K174" i="2"/>
  <c r="T173" i="2"/>
  <c r="K173" i="2"/>
  <c r="K172" i="2"/>
  <c r="T171" i="2"/>
  <c r="K171" i="2"/>
  <c r="K170" i="2"/>
  <c r="T169" i="2"/>
  <c r="K169" i="2"/>
  <c r="K168" i="2"/>
  <c r="T167" i="2"/>
  <c r="K167" i="2"/>
  <c r="K166" i="2"/>
  <c r="T165" i="2"/>
  <c r="K165" i="2"/>
  <c r="K164" i="2"/>
  <c r="T163" i="2"/>
  <c r="K163" i="2"/>
  <c r="N161" i="2"/>
  <c r="O161" i="2"/>
  <c r="P161" i="2"/>
  <c r="Q161" i="2"/>
  <c r="R161" i="2"/>
  <c r="S161" i="2"/>
  <c r="T161" i="2"/>
  <c r="U161" i="2"/>
  <c r="V161" i="2"/>
  <c r="N162" i="2"/>
  <c r="K162" i="2"/>
  <c r="K161" i="2"/>
  <c r="T160" i="2"/>
  <c r="K160" i="2"/>
  <c r="K159" i="2"/>
  <c r="T158" i="2"/>
  <c r="K158" i="2"/>
  <c r="K157" i="2"/>
  <c r="T156" i="2"/>
  <c r="K156" i="2"/>
  <c r="K155" i="2"/>
  <c r="T154" i="2"/>
  <c r="K154" i="2"/>
  <c r="K153" i="2"/>
  <c r="T152" i="2"/>
  <c r="K152" i="2"/>
  <c r="N150" i="2"/>
  <c r="O150" i="2"/>
  <c r="P150" i="2"/>
  <c r="Q150" i="2"/>
  <c r="R150" i="2"/>
  <c r="S150" i="2"/>
  <c r="T150" i="2"/>
  <c r="U150" i="2"/>
  <c r="V150" i="2"/>
  <c r="N151" i="2"/>
  <c r="K151" i="2"/>
  <c r="K150" i="2"/>
  <c r="T149" i="2"/>
  <c r="K149" i="2"/>
  <c r="K148" i="2"/>
  <c r="T147" i="2"/>
  <c r="K147" i="2"/>
  <c r="N145" i="2"/>
  <c r="O145" i="2"/>
  <c r="P145" i="2"/>
  <c r="Q145" i="2"/>
  <c r="R145" i="2"/>
  <c r="S145" i="2"/>
  <c r="T145" i="2"/>
  <c r="U145" i="2"/>
  <c r="V145" i="2"/>
  <c r="N146" i="2"/>
  <c r="K146" i="2"/>
  <c r="K145" i="2"/>
  <c r="T144" i="2"/>
  <c r="K144" i="2"/>
  <c r="K143" i="2"/>
  <c r="K142" i="2"/>
  <c r="T141" i="2"/>
  <c r="K141" i="2"/>
  <c r="K140" i="2"/>
  <c r="T139" i="2"/>
  <c r="K139" i="2"/>
  <c r="K138" i="2"/>
  <c r="T137" i="2"/>
  <c r="K137" i="2"/>
  <c r="K136" i="2"/>
  <c r="T135" i="2"/>
  <c r="K135" i="2"/>
  <c r="K134" i="2"/>
  <c r="T133" i="2"/>
  <c r="K133" i="2"/>
  <c r="K132" i="2"/>
  <c r="T131" i="2"/>
  <c r="K131" i="2"/>
  <c r="N129" i="2"/>
  <c r="O129" i="2"/>
  <c r="P129" i="2"/>
  <c r="Q129" i="2"/>
  <c r="R129" i="2"/>
  <c r="S129" i="2"/>
  <c r="T129" i="2"/>
  <c r="U129" i="2"/>
  <c r="V129" i="2"/>
  <c r="N130" i="2"/>
  <c r="K130" i="2"/>
  <c r="K129" i="2"/>
  <c r="T128" i="2"/>
  <c r="K128" i="2"/>
  <c r="K127" i="2"/>
  <c r="T126" i="2"/>
  <c r="K126" i="2"/>
  <c r="K125" i="2"/>
  <c r="T124" i="2"/>
  <c r="K124" i="2"/>
  <c r="K123" i="2"/>
  <c r="T122" i="2"/>
  <c r="K122" i="2"/>
  <c r="K121" i="2"/>
  <c r="T120" i="2"/>
  <c r="K120" i="2"/>
  <c r="K119" i="2"/>
  <c r="T118" i="2"/>
  <c r="K118" i="2"/>
  <c r="K117" i="2"/>
  <c r="T116" i="2"/>
  <c r="K116" i="2"/>
  <c r="N114" i="2"/>
  <c r="O114" i="2"/>
  <c r="P114" i="2"/>
  <c r="Q114" i="2"/>
  <c r="R114" i="2"/>
  <c r="S114" i="2"/>
  <c r="T114" i="2"/>
  <c r="U114" i="2"/>
  <c r="V114" i="2"/>
  <c r="N115" i="2"/>
  <c r="K115" i="2"/>
  <c r="K114" i="2"/>
  <c r="T113" i="2"/>
  <c r="K113" i="2"/>
  <c r="K112" i="2"/>
  <c r="T111" i="2"/>
  <c r="K111" i="2"/>
  <c r="K110" i="2"/>
  <c r="T109" i="2"/>
  <c r="K109" i="2"/>
  <c r="K108" i="2"/>
  <c r="T107" i="2"/>
  <c r="K107" i="2"/>
  <c r="K106" i="2"/>
  <c r="T105" i="2"/>
  <c r="K105" i="2"/>
  <c r="N103" i="2"/>
  <c r="O103" i="2"/>
  <c r="P103" i="2"/>
  <c r="Q103" i="2"/>
  <c r="R103" i="2"/>
  <c r="S103" i="2"/>
  <c r="T103" i="2"/>
  <c r="U103" i="2"/>
  <c r="V103" i="2"/>
  <c r="N104" i="2"/>
  <c r="K104" i="2"/>
  <c r="K103" i="2"/>
  <c r="T102" i="2"/>
  <c r="K102" i="2"/>
  <c r="K101" i="2"/>
  <c r="T100" i="2"/>
  <c r="K100" i="2"/>
  <c r="K99" i="2"/>
  <c r="T98" i="2"/>
  <c r="K98" i="2"/>
  <c r="K97" i="2"/>
  <c r="T96" i="2"/>
  <c r="K96" i="2"/>
  <c r="K95" i="2"/>
  <c r="T94" i="2"/>
  <c r="K94" i="2"/>
  <c r="N92" i="2"/>
  <c r="O92" i="2"/>
  <c r="P92" i="2"/>
  <c r="Q92" i="2"/>
  <c r="R92" i="2"/>
  <c r="S92" i="2"/>
  <c r="T92" i="2"/>
  <c r="U92" i="2"/>
  <c r="V92" i="2"/>
  <c r="N93" i="2"/>
  <c r="K93" i="2"/>
  <c r="K92" i="2"/>
  <c r="T91" i="2"/>
  <c r="K91" i="2"/>
  <c r="K90" i="2"/>
  <c r="T89" i="2"/>
  <c r="K89" i="2"/>
  <c r="N87" i="2"/>
  <c r="O87" i="2"/>
  <c r="P87" i="2"/>
  <c r="Q87" i="2"/>
  <c r="R87" i="2"/>
  <c r="S87" i="2"/>
  <c r="T87" i="2"/>
  <c r="U87" i="2"/>
  <c r="V87" i="2"/>
  <c r="N88" i="2"/>
  <c r="K88" i="2"/>
  <c r="K87" i="2"/>
  <c r="T86" i="2"/>
  <c r="K86" i="2"/>
  <c r="K85" i="2"/>
  <c r="K84" i="2"/>
  <c r="T83" i="2"/>
  <c r="K83" i="2"/>
  <c r="K82" i="2"/>
  <c r="T81" i="2"/>
  <c r="K81" i="2"/>
  <c r="K80" i="2"/>
  <c r="T79" i="2"/>
  <c r="K79" i="2"/>
  <c r="K78" i="2"/>
  <c r="T77" i="2"/>
  <c r="K77" i="2"/>
  <c r="K76" i="2"/>
  <c r="T75" i="2"/>
  <c r="K75" i="2"/>
  <c r="K74" i="2"/>
  <c r="T73" i="2"/>
  <c r="K73" i="2"/>
  <c r="N71" i="2"/>
  <c r="O71" i="2"/>
  <c r="P71" i="2"/>
  <c r="Q71" i="2"/>
  <c r="R71" i="2"/>
  <c r="S71" i="2"/>
  <c r="T71" i="2"/>
  <c r="U71" i="2"/>
  <c r="V71" i="2"/>
  <c r="N72" i="2"/>
  <c r="K72" i="2"/>
  <c r="K71" i="2"/>
  <c r="T70" i="2"/>
  <c r="K70" i="2"/>
  <c r="K69" i="2"/>
  <c r="T68" i="2"/>
  <c r="K68" i="2"/>
  <c r="K67" i="2"/>
  <c r="T66" i="2"/>
  <c r="K66" i="2"/>
  <c r="N64" i="2"/>
  <c r="O64" i="2"/>
  <c r="P64" i="2"/>
  <c r="Q64" i="2"/>
  <c r="R64" i="2"/>
  <c r="S64" i="2"/>
  <c r="T64" i="2"/>
  <c r="U64" i="2"/>
  <c r="V64" i="2"/>
  <c r="N65" i="2"/>
  <c r="K65" i="2"/>
  <c r="K64" i="2"/>
  <c r="T63" i="2"/>
  <c r="K63" i="2"/>
  <c r="K62" i="2"/>
  <c r="T61" i="2"/>
  <c r="K61" i="2"/>
  <c r="K60" i="2"/>
  <c r="T59" i="2"/>
  <c r="K59" i="2"/>
  <c r="K58" i="2"/>
  <c r="T57" i="2"/>
  <c r="K57" i="2"/>
  <c r="K56" i="2"/>
  <c r="T55" i="2"/>
  <c r="K55" i="2"/>
  <c r="K54" i="2"/>
  <c r="T53" i="2"/>
  <c r="K53" i="2"/>
  <c r="K52" i="2"/>
  <c r="T51" i="2"/>
  <c r="K51" i="2"/>
  <c r="K50" i="2"/>
  <c r="T49" i="2"/>
  <c r="K49" i="2"/>
  <c r="N47" i="2"/>
  <c r="O47" i="2"/>
  <c r="P47" i="2"/>
  <c r="Q47" i="2"/>
  <c r="R47" i="2"/>
  <c r="S47" i="2"/>
  <c r="T47" i="2"/>
  <c r="U47" i="2"/>
  <c r="V47" i="2"/>
  <c r="N48" i="2"/>
  <c r="K48" i="2"/>
  <c r="K47" i="2"/>
  <c r="T46" i="2"/>
  <c r="K46" i="2"/>
  <c r="N44" i="2"/>
  <c r="O44" i="2"/>
  <c r="P44" i="2"/>
  <c r="Q44" i="2"/>
  <c r="R44" i="2"/>
  <c r="S44" i="2"/>
  <c r="T44" i="2"/>
  <c r="U44" i="2"/>
  <c r="V44" i="2"/>
  <c r="N45" i="2"/>
  <c r="K45" i="2"/>
  <c r="K44" i="2"/>
  <c r="T43" i="2"/>
  <c r="K43" i="2"/>
  <c r="K42" i="2"/>
  <c r="K41" i="2"/>
  <c r="T40" i="2"/>
  <c r="K40" i="2"/>
  <c r="K39" i="2"/>
  <c r="T38" i="2"/>
  <c r="K38" i="2"/>
  <c r="K37" i="2"/>
  <c r="T36" i="2"/>
  <c r="K36" i="2"/>
  <c r="N34" i="2"/>
  <c r="O34" i="2"/>
  <c r="P34" i="2"/>
  <c r="Q34" i="2"/>
  <c r="R34" i="2"/>
  <c r="S34" i="2"/>
  <c r="T34" i="2"/>
  <c r="U34" i="2"/>
  <c r="V34" i="2"/>
  <c r="N35" i="2"/>
  <c r="K35" i="2"/>
  <c r="K34" i="2"/>
  <c r="T33" i="2"/>
  <c r="K33" i="2"/>
  <c r="K32" i="2"/>
  <c r="T31" i="2"/>
  <c r="K31" i="2"/>
  <c r="K30" i="2"/>
  <c r="T29" i="2"/>
  <c r="K29" i="2"/>
  <c r="K28" i="2"/>
  <c r="T27" i="2"/>
  <c r="K27" i="2"/>
  <c r="K26" i="2"/>
  <c r="T25" i="2"/>
  <c r="K25" i="2"/>
  <c r="K24" i="2"/>
  <c r="T23" i="2"/>
  <c r="K23" i="2"/>
  <c r="K22" i="2"/>
  <c r="T21" i="2"/>
  <c r="K21" i="2"/>
  <c r="N19" i="2"/>
  <c r="O19" i="2"/>
  <c r="P19" i="2"/>
  <c r="Q19" i="2"/>
  <c r="R19" i="2"/>
  <c r="S19" i="2"/>
  <c r="T19" i="2"/>
  <c r="U19" i="2"/>
  <c r="V19" i="2"/>
  <c r="N20" i="2"/>
  <c r="K20" i="2"/>
  <c r="K19" i="2"/>
  <c r="T18" i="2"/>
  <c r="K18" i="2"/>
  <c r="K17" i="2"/>
  <c r="T16" i="2"/>
  <c r="K16" i="2"/>
  <c r="K15" i="2"/>
  <c r="T14" i="2"/>
  <c r="K14" i="2"/>
  <c r="K13" i="2"/>
  <c r="T12" i="2"/>
  <c r="K12" i="2"/>
  <c r="K11" i="2"/>
  <c r="K3" i="2"/>
  <c r="K4" i="2"/>
  <c r="K5" i="2"/>
  <c r="K6" i="2"/>
  <c r="K7" i="2"/>
  <c r="K8" i="2"/>
  <c r="K9" i="2"/>
  <c r="K10" i="2"/>
  <c r="T10" i="2"/>
  <c r="N8" i="2"/>
  <c r="O8" i="2"/>
  <c r="P8" i="2"/>
  <c r="Q8" i="2"/>
  <c r="R8" i="2"/>
  <c r="S8" i="2"/>
  <c r="T8" i="2"/>
  <c r="U8" i="2"/>
  <c r="V8" i="2"/>
  <c r="N9" i="2"/>
  <c r="T7" i="2"/>
  <c r="N4" i="2"/>
  <c r="O4" i="2"/>
  <c r="P4" i="2"/>
  <c r="Q4" i="2"/>
  <c r="R4" i="2"/>
  <c r="S4" i="2"/>
  <c r="T4" i="2"/>
  <c r="U4" i="2"/>
  <c r="V4" i="2"/>
  <c r="N5" i="2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J59" i="1"/>
  <c r="J45" i="1"/>
  <c r="J73" i="1"/>
  <c r="J60" i="1"/>
  <c r="J46" i="1"/>
  <c r="J74" i="1"/>
  <c r="J61" i="1"/>
  <c r="J47" i="1"/>
  <c r="J75" i="1"/>
  <c r="J62" i="1"/>
  <c r="J48" i="1"/>
  <c r="J76" i="1"/>
  <c r="J63" i="1"/>
  <c r="J49" i="1"/>
  <c r="J77" i="1"/>
  <c r="J64" i="1"/>
  <c r="J50" i="1"/>
  <c r="J78" i="1"/>
  <c r="J65" i="1"/>
  <c r="J51" i="1"/>
  <c r="J79" i="1"/>
  <c r="J66" i="1"/>
  <c r="J52" i="1"/>
  <c r="J80" i="1"/>
  <c r="J67" i="1"/>
  <c r="J53" i="1"/>
  <c r="J81" i="1"/>
  <c r="J68" i="1"/>
  <c r="J54" i="1"/>
  <c r="J82" i="1"/>
  <c r="K69" i="1"/>
  <c r="K70" i="1"/>
  <c r="J83" i="1"/>
  <c r="I59" i="1"/>
  <c r="I45" i="1"/>
  <c r="I73" i="1"/>
  <c r="I60" i="1"/>
  <c r="I46" i="1"/>
  <c r="I74" i="1"/>
  <c r="I61" i="1"/>
  <c r="I47" i="1"/>
  <c r="I75" i="1"/>
  <c r="I62" i="1"/>
  <c r="I48" i="1"/>
  <c r="I76" i="1"/>
  <c r="I63" i="1"/>
  <c r="I49" i="1"/>
  <c r="I77" i="1"/>
  <c r="I64" i="1"/>
  <c r="I50" i="1"/>
  <c r="I78" i="1"/>
  <c r="I65" i="1"/>
  <c r="I51" i="1"/>
  <c r="I79" i="1"/>
  <c r="I66" i="1"/>
  <c r="I52" i="1"/>
  <c r="I80" i="1"/>
  <c r="I67" i="1"/>
  <c r="I53" i="1"/>
  <c r="I81" i="1"/>
  <c r="I68" i="1"/>
  <c r="I54" i="1"/>
  <c r="I82" i="1"/>
  <c r="I83" i="1"/>
  <c r="H59" i="1"/>
  <c r="H45" i="1"/>
  <c r="H73" i="1"/>
  <c r="H60" i="1"/>
  <c r="H46" i="1"/>
  <c r="H74" i="1"/>
  <c r="H61" i="1"/>
  <c r="H47" i="1"/>
  <c r="H75" i="1"/>
  <c r="H62" i="1"/>
  <c r="H48" i="1"/>
  <c r="H76" i="1"/>
  <c r="H63" i="1"/>
  <c r="H49" i="1"/>
  <c r="H77" i="1"/>
  <c r="H64" i="1"/>
  <c r="H50" i="1"/>
  <c r="H78" i="1"/>
  <c r="H65" i="1"/>
  <c r="H51" i="1"/>
  <c r="H79" i="1"/>
  <c r="H66" i="1"/>
  <c r="H52" i="1"/>
  <c r="H80" i="1"/>
  <c r="H67" i="1"/>
  <c r="H53" i="1"/>
  <c r="H81" i="1"/>
  <c r="H68" i="1"/>
  <c r="H54" i="1"/>
  <c r="H82" i="1"/>
  <c r="H83" i="1"/>
  <c r="G59" i="1"/>
  <c r="G45" i="1"/>
  <c r="G73" i="1"/>
  <c r="G60" i="1"/>
  <c r="G46" i="1"/>
  <c r="G74" i="1"/>
  <c r="G61" i="1"/>
  <c r="G47" i="1"/>
  <c r="G75" i="1"/>
  <c r="G62" i="1"/>
  <c r="G48" i="1"/>
  <c r="G76" i="1"/>
  <c r="G63" i="1"/>
  <c r="G49" i="1"/>
  <c r="G77" i="1"/>
  <c r="G64" i="1"/>
  <c r="G50" i="1"/>
  <c r="G78" i="1"/>
  <c r="G65" i="1"/>
  <c r="G51" i="1"/>
  <c r="G79" i="1"/>
  <c r="G66" i="1"/>
  <c r="G52" i="1"/>
  <c r="G80" i="1"/>
  <c r="G67" i="1"/>
  <c r="G53" i="1"/>
  <c r="G81" i="1"/>
  <c r="G68" i="1"/>
  <c r="G54" i="1"/>
  <c r="G82" i="1"/>
  <c r="G83" i="1"/>
  <c r="F59" i="1"/>
  <c r="F45" i="1"/>
  <c r="F73" i="1"/>
  <c r="F60" i="1"/>
  <c r="F46" i="1"/>
  <c r="F74" i="1"/>
  <c r="F61" i="1"/>
  <c r="F47" i="1"/>
  <c r="F75" i="1"/>
  <c r="F62" i="1"/>
  <c r="F48" i="1"/>
  <c r="F76" i="1"/>
  <c r="F63" i="1"/>
  <c r="F49" i="1"/>
  <c r="F77" i="1"/>
  <c r="F64" i="1"/>
  <c r="F50" i="1"/>
  <c r="F78" i="1"/>
  <c r="F65" i="1"/>
  <c r="F51" i="1"/>
  <c r="F79" i="1"/>
  <c r="F66" i="1"/>
  <c r="F52" i="1"/>
  <c r="F80" i="1"/>
  <c r="F67" i="1"/>
  <c r="F53" i="1"/>
  <c r="F81" i="1"/>
  <c r="F68" i="1"/>
  <c r="F54" i="1"/>
  <c r="F82" i="1"/>
  <c r="F83" i="1"/>
  <c r="E59" i="1"/>
  <c r="E45" i="1"/>
  <c r="E73" i="1"/>
  <c r="E60" i="1"/>
  <c r="E46" i="1"/>
  <c r="E74" i="1"/>
  <c r="E61" i="1"/>
  <c r="E47" i="1"/>
  <c r="E75" i="1"/>
  <c r="E62" i="1"/>
  <c r="E48" i="1"/>
  <c r="E76" i="1"/>
  <c r="E63" i="1"/>
  <c r="E49" i="1"/>
  <c r="E77" i="1"/>
  <c r="E64" i="1"/>
  <c r="E50" i="1"/>
  <c r="E78" i="1"/>
  <c r="E65" i="1"/>
  <c r="E51" i="1"/>
  <c r="E79" i="1"/>
  <c r="E66" i="1"/>
  <c r="E52" i="1"/>
  <c r="E80" i="1"/>
  <c r="E67" i="1"/>
  <c r="E53" i="1"/>
  <c r="E81" i="1"/>
  <c r="E68" i="1"/>
  <c r="E54" i="1"/>
  <c r="E82" i="1"/>
  <c r="E83" i="1"/>
  <c r="D59" i="1"/>
  <c r="D45" i="1"/>
  <c r="D73" i="1"/>
  <c r="D60" i="1"/>
  <c r="D46" i="1"/>
  <c r="D74" i="1"/>
  <c r="D61" i="1"/>
  <c r="D47" i="1"/>
  <c r="D75" i="1"/>
  <c r="D62" i="1"/>
  <c r="D48" i="1"/>
  <c r="D76" i="1"/>
  <c r="D63" i="1"/>
  <c r="D49" i="1"/>
  <c r="D77" i="1"/>
  <c r="D64" i="1"/>
  <c r="D50" i="1"/>
  <c r="D78" i="1"/>
  <c r="D65" i="1"/>
  <c r="D51" i="1"/>
  <c r="D79" i="1"/>
  <c r="D66" i="1"/>
  <c r="D52" i="1"/>
  <c r="D80" i="1"/>
  <c r="D67" i="1"/>
  <c r="D53" i="1"/>
  <c r="D81" i="1"/>
  <c r="D68" i="1"/>
  <c r="D54" i="1"/>
  <c r="D82" i="1"/>
  <c r="D83" i="1"/>
  <c r="C59" i="1"/>
  <c r="C45" i="1"/>
  <c r="C73" i="1"/>
  <c r="C60" i="1"/>
  <c r="C46" i="1"/>
  <c r="C74" i="1"/>
  <c r="C61" i="1"/>
  <c r="C47" i="1"/>
  <c r="C75" i="1"/>
  <c r="C62" i="1"/>
  <c r="C48" i="1"/>
  <c r="C76" i="1"/>
  <c r="C63" i="1"/>
  <c r="C49" i="1"/>
  <c r="C77" i="1"/>
  <c r="C64" i="1"/>
  <c r="C50" i="1"/>
  <c r="C78" i="1"/>
  <c r="C65" i="1"/>
  <c r="C51" i="1"/>
  <c r="C79" i="1"/>
  <c r="C66" i="1"/>
  <c r="C52" i="1"/>
  <c r="C80" i="1"/>
  <c r="C67" i="1"/>
  <c r="C53" i="1"/>
  <c r="C81" i="1"/>
  <c r="C68" i="1"/>
  <c r="C54" i="1"/>
  <c r="C82" i="1"/>
  <c r="C83" i="1"/>
  <c r="B59" i="1"/>
  <c r="B45" i="1"/>
  <c r="B73" i="1"/>
  <c r="B60" i="1"/>
  <c r="B46" i="1"/>
  <c r="B74" i="1"/>
  <c r="B61" i="1"/>
  <c r="B47" i="1"/>
  <c r="B75" i="1"/>
  <c r="B62" i="1"/>
  <c r="B48" i="1"/>
  <c r="B76" i="1"/>
  <c r="B63" i="1"/>
  <c r="B49" i="1"/>
  <c r="B77" i="1"/>
  <c r="B64" i="1"/>
  <c r="B50" i="1"/>
  <c r="B78" i="1"/>
  <c r="B65" i="1"/>
  <c r="B51" i="1"/>
  <c r="B79" i="1"/>
  <c r="B66" i="1"/>
  <c r="B52" i="1"/>
  <c r="B80" i="1"/>
  <c r="B67" i="1"/>
  <c r="B53" i="1"/>
  <c r="B81" i="1"/>
  <c r="B68" i="1"/>
  <c r="B54" i="1"/>
  <c r="B82" i="1"/>
  <c r="B83" i="1"/>
  <c r="K68" i="1"/>
  <c r="K67" i="1"/>
  <c r="K66" i="1"/>
  <c r="K65" i="1"/>
  <c r="K64" i="1"/>
  <c r="K63" i="1"/>
  <c r="K62" i="1"/>
  <c r="K61" i="1"/>
  <c r="K60" i="1"/>
  <c r="K59" i="1"/>
  <c r="K45" i="1"/>
  <c r="K46" i="1"/>
  <c r="K47" i="1"/>
  <c r="K48" i="1"/>
  <c r="K49" i="1"/>
  <c r="K50" i="1"/>
  <c r="K51" i="1"/>
  <c r="K52" i="1"/>
  <c r="K53" i="1"/>
  <c r="K54" i="1"/>
  <c r="K55" i="1"/>
  <c r="J55" i="1"/>
  <c r="I55" i="1"/>
  <c r="H55" i="1"/>
  <c r="G55" i="1"/>
  <c r="F55" i="1"/>
  <c r="E55" i="1"/>
  <c r="D55" i="1"/>
  <c r="C55" i="1"/>
  <c r="B55" i="1"/>
  <c r="J17" i="1"/>
  <c r="J3" i="1"/>
  <c r="J31" i="1"/>
  <c r="J18" i="1"/>
  <c r="J4" i="1"/>
  <c r="J32" i="1"/>
  <c r="J19" i="1"/>
  <c r="J5" i="1"/>
  <c r="J33" i="1"/>
  <c r="J20" i="1"/>
  <c r="J6" i="1"/>
  <c r="J34" i="1"/>
  <c r="J21" i="1"/>
  <c r="J7" i="1"/>
  <c r="J35" i="1"/>
  <c r="J22" i="1"/>
  <c r="J8" i="1"/>
  <c r="J36" i="1"/>
  <c r="J23" i="1"/>
  <c r="J9" i="1"/>
  <c r="J37" i="1"/>
  <c r="J24" i="1"/>
  <c r="J10" i="1"/>
  <c r="J38" i="1"/>
  <c r="J25" i="1"/>
  <c r="J11" i="1"/>
  <c r="J39" i="1"/>
  <c r="J26" i="1"/>
  <c r="J12" i="1"/>
  <c r="J40" i="1"/>
  <c r="K27" i="1"/>
  <c r="K28" i="1"/>
  <c r="J41" i="1"/>
  <c r="I17" i="1"/>
  <c r="I3" i="1"/>
  <c r="I31" i="1"/>
  <c r="I18" i="1"/>
  <c r="I4" i="1"/>
  <c r="I32" i="1"/>
  <c r="I19" i="1"/>
  <c r="I5" i="1"/>
  <c r="I33" i="1"/>
  <c r="I20" i="1"/>
  <c r="I6" i="1"/>
  <c r="I34" i="1"/>
  <c r="I21" i="1"/>
  <c r="I7" i="1"/>
  <c r="I35" i="1"/>
  <c r="I22" i="1"/>
  <c r="I8" i="1"/>
  <c r="I36" i="1"/>
  <c r="I23" i="1"/>
  <c r="I9" i="1"/>
  <c r="I37" i="1"/>
  <c r="I24" i="1"/>
  <c r="I10" i="1"/>
  <c r="I38" i="1"/>
  <c r="I25" i="1"/>
  <c r="I11" i="1"/>
  <c r="I39" i="1"/>
  <c r="I26" i="1"/>
  <c r="I12" i="1"/>
  <c r="I40" i="1"/>
  <c r="I41" i="1"/>
  <c r="H17" i="1"/>
  <c r="H3" i="1"/>
  <c r="H31" i="1"/>
  <c r="H18" i="1"/>
  <c r="H4" i="1"/>
  <c r="H32" i="1"/>
  <c r="H19" i="1"/>
  <c r="H5" i="1"/>
  <c r="H33" i="1"/>
  <c r="H20" i="1"/>
  <c r="H6" i="1"/>
  <c r="H34" i="1"/>
  <c r="H21" i="1"/>
  <c r="H7" i="1"/>
  <c r="H35" i="1"/>
  <c r="H22" i="1"/>
  <c r="H8" i="1"/>
  <c r="H36" i="1"/>
  <c r="H23" i="1"/>
  <c r="H9" i="1"/>
  <c r="H37" i="1"/>
  <c r="H24" i="1"/>
  <c r="H10" i="1"/>
  <c r="H38" i="1"/>
  <c r="H25" i="1"/>
  <c r="H11" i="1"/>
  <c r="H39" i="1"/>
  <c r="H26" i="1"/>
  <c r="H12" i="1"/>
  <c r="H40" i="1"/>
  <c r="H41" i="1"/>
  <c r="G17" i="1"/>
  <c r="G3" i="1"/>
  <c r="G31" i="1"/>
  <c r="G18" i="1"/>
  <c r="G4" i="1"/>
  <c r="G32" i="1"/>
  <c r="G19" i="1"/>
  <c r="G5" i="1"/>
  <c r="G33" i="1"/>
  <c r="G20" i="1"/>
  <c r="G6" i="1"/>
  <c r="G34" i="1"/>
  <c r="G21" i="1"/>
  <c r="G7" i="1"/>
  <c r="G35" i="1"/>
  <c r="G22" i="1"/>
  <c r="G8" i="1"/>
  <c r="G36" i="1"/>
  <c r="G23" i="1"/>
  <c r="G9" i="1"/>
  <c r="G37" i="1"/>
  <c r="G24" i="1"/>
  <c r="G10" i="1"/>
  <c r="G38" i="1"/>
  <c r="G25" i="1"/>
  <c r="G11" i="1"/>
  <c r="G39" i="1"/>
  <c r="G26" i="1"/>
  <c r="G12" i="1"/>
  <c r="G40" i="1"/>
  <c r="G41" i="1"/>
  <c r="F17" i="1"/>
  <c r="F3" i="1"/>
  <c r="F31" i="1"/>
  <c r="F18" i="1"/>
  <c r="F4" i="1"/>
  <c r="F32" i="1"/>
  <c r="F19" i="1"/>
  <c r="F5" i="1"/>
  <c r="F33" i="1"/>
  <c r="F20" i="1"/>
  <c r="F6" i="1"/>
  <c r="F34" i="1"/>
  <c r="F21" i="1"/>
  <c r="F7" i="1"/>
  <c r="F35" i="1"/>
  <c r="F22" i="1"/>
  <c r="F8" i="1"/>
  <c r="F36" i="1"/>
  <c r="F23" i="1"/>
  <c r="F9" i="1"/>
  <c r="F37" i="1"/>
  <c r="F24" i="1"/>
  <c r="F10" i="1"/>
  <c r="F38" i="1"/>
  <c r="F25" i="1"/>
  <c r="F11" i="1"/>
  <c r="F39" i="1"/>
  <c r="F26" i="1"/>
  <c r="F12" i="1"/>
  <c r="F40" i="1"/>
  <c r="F41" i="1"/>
  <c r="E17" i="1"/>
  <c r="E3" i="1"/>
  <c r="E31" i="1"/>
  <c r="E18" i="1"/>
  <c r="E4" i="1"/>
  <c r="E32" i="1"/>
  <c r="E19" i="1"/>
  <c r="E5" i="1"/>
  <c r="E33" i="1"/>
  <c r="E20" i="1"/>
  <c r="E6" i="1"/>
  <c r="E34" i="1"/>
  <c r="E21" i="1"/>
  <c r="E7" i="1"/>
  <c r="E35" i="1"/>
  <c r="E22" i="1"/>
  <c r="E8" i="1"/>
  <c r="E36" i="1"/>
  <c r="E23" i="1"/>
  <c r="E9" i="1"/>
  <c r="E37" i="1"/>
  <c r="E24" i="1"/>
  <c r="E10" i="1"/>
  <c r="E38" i="1"/>
  <c r="E25" i="1"/>
  <c r="E11" i="1"/>
  <c r="E39" i="1"/>
  <c r="E26" i="1"/>
  <c r="E12" i="1"/>
  <c r="E40" i="1"/>
  <c r="E41" i="1"/>
  <c r="D17" i="1"/>
  <c r="D3" i="1"/>
  <c r="D31" i="1"/>
  <c r="D18" i="1"/>
  <c r="D4" i="1"/>
  <c r="D32" i="1"/>
  <c r="D19" i="1"/>
  <c r="D5" i="1"/>
  <c r="D33" i="1"/>
  <c r="D20" i="1"/>
  <c r="D6" i="1"/>
  <c r="D34" i="1"/>
  <c r="D21" i="1"/>
  <c r="D7" i="1"/>
  <c r="D35" i="1"/>
  <c r="D22" i="1"/>
  <c r="D8" i="1"/>
  <c r="D36" i="1"/>
  <c r="D23" i="1"/>
  <c r="D9" i="1"/>
  <c r="D37" i="1"/>
  <c r="D24" i="1"/>
  <c r="D10" i="1"/>
  <c r="D38" i="1"/>
  <c r="D25" i="1"/>
  <c r="D11" i="1"/>
  <c r="D39" i="1"/>
  <c r="D26" i="1"/>
  <c r="D12" i="1"/>
  <c r="D40" i="1"/>
  <c r="D41" i="1"/>
  <c r="C17" i="1"/>
  <c r="C3" i="1"/>
  <c r="C31" i="1"/>
  <c r="C18" i="1"/>
  <c r="C4" i="1"/>
  <c r="C32" i="1"/>
  <c r="C19" i="1"/>
  <c r="C5" i="1"/>
  <c r="C33" i="1"/>
  <c r="C20" i="1"/>
  <c r="C6" i="1"/>
  <c r="C34" i="1"/>
  <c r="C21" i="1"/>
  <c r="C7" i="1"/>
  <c r="C35" i="1"/>
  <c r="C22" i="1"/>
  <c r="C8" i="1"/>
  <c r="C36" i="1"/>
  <c r="C23" i="1"/>
  <c r="C9" i="1"/>
  <c r="C37" i="1"/>
  <c r="C24" i="1"/>
  <c r="C10" i="1"/>
  <c r="C38" i="1"/>
  <c r="C25" i="1"/>
  <c r="C11" i="1"/>
  <c r="C39" i="1"/>
  <c r="C26" i="1"/>
  <c r="C12" i="1"/>
  <c r="C40" i="1"/>
  <c r="C41" i="1"/>
  <c r="B17" i="1"/>
  <c r="B3" i="1"/>
  <c r="B31" i="1"/>
  <c r="B18" i="1"/>
  <c r="B4" i="1"/>
  <c r="B32" i="1"/>
  <c r="B19" i="1"/>
  <c r="B5" i="1"/>
  <c r="B33" i="1"/>
  <c r="B20" i="1"/>
  <c r="B6" i="1"/>
  <c r="B34" i="1"/>
  <c r="B21" i="1"/>
  <c r="B7" i="1"/>
  <c r="B35" i="1"/>
  <c r="B22" i="1"/>
  <c r="B8" i="1"/>
  <c r="B36" i="1"/>
  <c r="B23" i="1"/>
  <c r="B9" i="1"/>
  <c r="B37" i="1"/>
  <c r="B24" i="1"/>
  <c r="B10" i="1"/>
  <c r="B38" i="1"/>
  <c r="B25" i="1"/>
  <c r="B11" i="1"/>
  <c r="B39" i="1"/>
  <c r="B26" i="1"/>
  <c r="B12" i="1"/>
  <c r="B40" i="1"/>
  <c r="B41" i="1"/>
  <c r="K26" i="1"/>
  <c r="K25" i="1"/>
  <c r="K24" i="1"/>
  <c r="K23" i="1"/>
  <c r="K22" i="1"/>
  <c r="K21" i="1"/>
  <c r="K20" i="1"/>
  <c r="K19" i="1"/>
  <c r="K18" i="1"/>
  <c r="K17" i="1"/>
  <c r="K3" i="1"/>
  <c r="K4" i="1"/>
  <c r="K5" i="1"/>
  <c r="K6" i="1"/>
  <c r="K7" i="1"/>
  <c r="K8" i="1"/>
  <c r="K9" i="1"/>
  <c r="K10" i="1"/>
  <c r="K11" i="1"/>
  <c r="K12" i="1"/>
  <c r="K13" i="1"/>
  <c r="J13" i="1"/>
  <c r="I13" i="1"/>
  <c r="H13" i="1"/>
  <c r="G13" i="1"/>
  <c r="F13" i="1"/>
  <c r="E13" i="1"/>
  <c r="D13" i="1"/>
  <c r="C13" i="1"/>
  <c r="B13" i="1"/>
</calcChain>
</file>

<file path=xl/sharedStrings.xml><?xml version="1.0" encoding="utf-8"?>
<sst xmlns="http://schemas.openxmlformats.org/spreadsheetml/2006/main" count="476" uniqueCount="103">
  <si>
    <t>clump_thickness</t>
  </si>
  <si>
    <t xml:space="preserve"> uniformity_of_cell_size</t>
  </si>
  <si>
    <t xml:space="preserve"> uniformity_of_cell_shape</t>
  </si>
  <si>
    <t xml:space="preserve"> marginal_adhersion</t>
  </si>
  <si>
    <t xml:space="preserve"> single_epithelial</t>
  </si>
  <si>
    <t xml:space="preserve"> bare_nucleoli</t>
  </si>
  <si>
    <t xml:space="preserve"> bland_chromatin</t>
  </si>
  <si>
    <t xml:space="preserve"> normal_nucleoli</t>
  </si>
  <si>
    <t>?</t>
  </si>
  <si>
    <t xml:space="preserve"> mitoses</t>
  </si>
  <si>
    <t>Class</t>
  </si>
  <si>
    <t>Proportions</t>
  </si>
  <si>
    <t>Total</t>
  </si>
  <si>
    <t>Entropies</t>
  </si>
  <si>
    <t>Overall Entropy</t>
  </si>
  <si>
    <t>p</t>
  </si>
  <si>
    <t>Malignant?</t>
  </si>
  <si>
    <t>Information</t>
  </si>
  <si>
    <t>Information Gain</t>
  </si>
  <si>
    <t>Gain</t>
  </si>
  <si>
    <t>Column1</t>
  </si>
  <si>
    <t>For uniformity_of_cell_size=1</t>
  </si>
  <si>
    <t>Root Node</t>
  </si>
  <si>
    <t>DATA</t>
  </si>
  <si>
    <t>Attributes</t>
  </si>
  <si>
    <t>Proportion True?</t>
  </si>
  <si>
    <t>All values TRUE, end of branch</t>
  </si>
  <si>
    <t>Branch LvA: uniformity_of_cell_size=1</t>
  </si>
  <si>
    <t>Branch LvA: uniformity_of_cell_size=2</t>
  </si>
  <si>
    <t>Branch LvA: uniformity_of_cell_size=3</t>
  </si>
  <si>
    <t>Branch LvA: uniformity_of_cell_size=4</t>
  </si>
  <si>
    <t>Branch LvA: uniformity_of_cell_size=5</t>
  </si>
  <si>
    <t>Branch LvA: uniformity_of_cell_size=6</t>
  </si>
  <si>
    <t>Branch LvA: uniformity_of_cell_size=7</t>
  </si>
  <si>
    <t>Branch LvA: uniformity_of_cell_size=8</t>
  </si>
  <si>
    <t>Next Node</t>
  </si>
  <si>
    <t>Branch LvA: uniformity_of_cell_size=9</t>
  </si>
  <si>
    <t>Branch LvA: uniformity_of_cell_size=10</t>
  </si>
  <si>
    <t>Branch LvB: bare_nucleoli=1</t>
  </si>
  <si>
    <t>All values FALSE, end of branch</t>
  </si>
  <si>
    <t>Branch LvB: bare_nucleoli=2</t>
  </si>
  <si>
    <t>Branch LvB: bare_nucleoli=3</t>
  </si>
  <si>
    <t>Branch LvB: bare_nucleoli=4</t>
  </si>
  <si>
    <t>Branch LvB: bare_nucleoli=10</t>
  </si>
  <si>
    <t>Branch LvB: bare_nucleoli=5</t>
  </si>
  <si>
    <t>Branch LvB: bare_nucleoli=?</t>
  </si>
  <si>
    <t>Branch LvC: clump_thickness=1</t>
  </si>
  <si>
    <t>Branch LvC: clump_thickness=2</t>
  </si>
  <si>
    <t>Branch LvC: clump_thickness=3</t>
  </si>
  <si>
    <t>Branch LvC: clump_thickness=4</t>
  </si>
  <si>
    <t>Branch LvC: clump_thickness=5</t>
  </si>
  <si>
    <t>Branch LvC: clump_thickness=6</t>
  </si>
  <si>
    <t>Branch LvC: clump_thickness=9</t>
  </si>
  <si>
    <t>Branch LvC: clump_thickness=10</t>
  </si>
  <si>
    <t>Branch Lvb: bare_nucleoli=1</t>
  </si>
  <si>
    <t>Branch Lvb: bare_nucleoli=2</t>
  </si>
  <si>
    <t>Branch Lvb: bare_nucleoli=3</t>
  </si>
  <si>
    <t>Branch Lvb: bare_nucleoli=4</t>
  </si>
  <si>
    <t>Branch Lvb: bare_nucleoli=6</t>
  </si>
  <si>
    <t>Branch Lvb: bare_nucleoli=7</t>
  </si>
  <si>
    <t>Branch Lvb: bare_nucleoli=8</t>
  </si>
  <si>
    <t>Branch Lvb: bare_nucleoli=10</t>
  </si>
  <si>
    <t>Branch LvC: bland_chromatin=1</t>
  </si>
  <si>
    <t>Branch LvC: bland_chromatin=2</t>
  </si>
  <si>
    <t>Branch LvC: bland_chromatin=3</t>
  </si>
  <si>
    <t>Branch LvC: bland_chromatin=4</t>
  </si>
  <si>
    <t>Branch LvC: bland_chromatin=5</t>
  </si>
  <si>
    <t>Branch LvC: bland_chromatin=7</t>
  </si>
  <si>
    <t>Branch LvC: clump_thickness=8</t>
  </si>
  <si>
    <t>Branch LvC: clump_thickness=7</t>
  </si>
  <si>
    <t>Branch LvB: bare_nucleoli=7</t>
  </si>
  <si>
    <t>Branch LvB: bare_nucleoli=8</t>
  </si>
  <si>
    <t>Branch LvB: bare_nucleoli=9</t>
  </si>
  <si>
    <t>Branch LvC: uniformity_of_cell_shape=1</t>
  </si>
  <si>
    <t>Branch LvC: uniformity_of_cell_shape=2</t>
  </si>
  <si>
    <t>Branch LvC: uniformity_of_cell_shape=3</t>
  </si>
  <si>
    <t>Branch LvC: uniformity_of_cell_shape=4</t>
  </si>
  <si>
    <t>Branch LvB: clump_thickness=1</t>
  </si>
  <si>
    <t>Branch LvB: clump_thickness=3</t>
  </si>
  <si>
    <t>Branch LvB: clump_thickness=4</t>
  </si>
  <si>
    <t>Branch LvB: clump_thickness=5</t>
  </si>
  <si>
    <t>Branch LvB: clump_thickness=7</t>
  </si>
  <si>
    <t>Branch LvB: clump_thickness=8</t>
  </si>
  <si>
    <t>Branch LvB: clump_thickness=9</t>
  </si>
  <si>
    <t>Branch LvB: clump_thickness=10</t>
  </si>
  <si>
    <t>Branch LvC: marginal_adhesion=2</t>
  </si>
  <si>
    <t>Branch LvC: marginal_adhesion=3</t>
  </si>
  <si>
    <t>Branch LvC: marginal_adhesion=10</t>
  </si>
  <si>
    <t>Branch LvC: marginal_adhesion=1</t>
  </si>
  <si>
    <t>Branch LvC: marginal_adhesion=5</t>
  </si>
  <si>
    <t>Branch LvC: marginal_adhesion=6</t>
  </si>
  <si>
    <t>Branch LvC: marginal_adhesion=7</t>
  </si>
  <si>
    <t>Branch LvC: marginal_adhesion=8</t>
  </si>
  <si>
    <t>Branch LvC: marginal_adhesion=9</t>
  </si>
  <si>
    <t>Branch LvC: bare_nulceoli=1</t>
  </si>
  <si>
    <t>Branch LvC: bare_nulceoli=4</t>
  </si>
  <si>
    <t>Branch LvC: bare_nulceoli=7</t>
  </si>
  <si>
    <t>Branch LvC: bare_nulceoli=9</t>
  </si>
  <si>
    <t>Branch LvC: bare_nulceoli=10</t>
  </si>
  <si>
    <t>Branch LvB: bare_nucleoli=6</t>
  </si>
  <si>
    <t>Branch LvB: clump_thickness=6</t>
  </si>
  <si>
    <t>Branch LvC: uniformity_of_cell_shape=7</t>
  </si>
  <si>
    <t>Branch LvC: uniformity_of_cell_shape=8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</si>
</sst>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/>
    <xf numFmtId="0" fontId="1" fillId="0" borderId="0" xfId="0" applyFont="1" applyAlignment="1">
      <alignment horizontal="right"/>
    </xf>
    <xf numFmtId="0" fontId="1" fillId="0" borderId="0" xfId="0" applyFont="1" applyAlignment="1"/>
    <xf numFmtId="165" fontId="0" fillId="0" borderId="0" xfId="0" applyNumberFormat="1" applyAlignment="1"/>
    <xf numFmtId="165" fontId="1" fillId="0" borderId="0" xfId="0" applyNumberFormat="1" applyFont="1" applyAlignment="1"/>
    <xf numFmtId="165" fontId="1" fillId="2" borderId="0" xfId="0" applyNumberFormat="1" applyFont="1" applyFill="1" applyAlignment="1"/>
    <xf numFmtId="165" fontId="1" fillId="0" borderId="0" xfId="0" applyNumberFormat="1" applyFont="1" applyFill="1" applyAlignment="1"/>
    <xf numFmtId="164" fontId="1" fillId="0" borderId="0" xfId="0" applyNumberFormat="1" applyFont="1" applyAlignment="1"/>
    <xf numFmtId="164" fontId="1" fillId="3" borderId="0" xfId="0" applyNumberFormat="1" applyFont="1" applyFill="1" applyAlignment="1"/>
    <xf numFmtId="0" fontId="1" fillId="0" borderId="0" xfId="0" applyFont="1"/>
    <xf numFmtId="0" fontId="2" fillId="0" borderId="0" xfId="0" applyFont="1" applyFill="1" applyBorder="1" applyAlignment="1">
      <alignment textRotation="90"/>
    </xf>
    <xf numFmtId="164" fontId="0" fillId="0" borderId="0" xfId="0" applyNumberFormat="1"/>
    <xf numFmtId="165" fontId="0" fillId="0" borderId="0" xfId="0" applyNumberFormat="1"/>
    <xf numFmtId="164" fontId="0" fillId="3" borderId="0" xfId="0" applyNumberFormat="1" applyFill="1"/>
    <xf numFmtId="165" fontId="0" fillId="3" borderId="0" xfId="0" applyNumberFormat="1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4" borderId="0" xfId="0" applyFont="1" applyFill="1"/>
    <xf numFmtId="0" fontId="3" fillId="0" borderId="0" xfId="0" applyFont="1" applyFill="1"/>
    <xf numFmtId="165" fontId="0" fillId="0" borderId="0" xfId="0" applyNumberFormat="1" applyFill="1"/>
    <xf numFmtId="2" fontId="3" fillId="4" borderId="0" xfId="0" applyNumberFormat="1" applyFont="1" applyFill="1"/>
    <xf numFmtId="166" fontId="3" fillId="4" borderId="0" xfId="0" applyNumberFormat="1" applyFont="1" applyFill="1"/>
    <xf numFmtId="166" fontId="3" fillId="0" borderId="0" xfId="0" applyNumberFormat="1" applyFont="1" applyFill="1"/>
    <xf numFmtId="164" fontId="0" fillId="0" borderId="0" xfId="0" applyNumberFormat="1" applyFill="1"/>
    <xf numFmtId="0" fontId="0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27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9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90" wrapText="0" indent="0" justifyLastLine="0" shrinkToFit="0" readingOrder="0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D63419E-AF85-4812-A24A-B69B3EE7C2FE}" type="doc">
      <dgm:prSet loTypeId="urn:microsoft.com/office/officeart/2005/8/layout/hierarchy2" loCatId="hierarchy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13D08A5D-1E8D-4267-808D-27AF896B9F30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Uniformity Of Cell Size</a:t>
          </a:r>
        </a:p>
      </dgm:t>
    </dgm:pt>
    <dgm:pt modelId="{AB0F2022-71F7-4ABD-9866-39EF3ACD1AF0}" type="parTrans" cxnId="{04CEFADB-5C93-4DFF-9C0B-380BEF5F8BC5}">
      <dgm:prSet/>
      <dgm:spPr/>
      <dgm:t>
        <a:bodyPr/>
        <a:lstStyle/>
        <a:p>
          <a:endParaRPr lang="en-US" sz="700"/>
        </a:p>
      </dgm:t>
    </dgm:pt>
    <dgm:pt modelId="{AC026A44-6603-4A8E-B811-7D59BDE54C6E}" type="sibTrans" cxnId="{04CEFADB-5C93-4DFF-9C0B-380BEF5F8BC5}">
      <dgm:prSet/>
      <dgm:spPr/>
      <dgm:t>
        <a:bodyPr/>
        <a:lstStyle/>
        <a:p>
          <a:endParaRPr lang="en-US" sz="700"/>
        </a:p>
      </dgm:t>
    </dgm:pt>
    <dgm:pt modelId="{82A5275F-A1F7-406F-B713-2E5F279C3667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Bare Nucleoli</a:t>
          </a:r>
        </a:p>
      </dgm:t>
    </dgm:pt>
    <dgm:pt modelId="{8CF501BB-EA8C-4A5E-91EE-698268077429}" type="parTrans" cxnId="{9FD6767A-C51C-448D-98A3-0B4226834880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B203A9AD-B7FD-46E2-9ED1-8889AC494DDC}" type="sibTrans" cxnId="{9FD6767A-C51C-448D-98A3-0B4226834880}">
      <dgm:prSet/>
      <dgm:spPr/>
      <dgm:t>
        <a:bodyPr/>
        <a:lstStyle/>
        <a:p>
          <a:endParaRPr lang="en-US" sz="700"/>
        </a:p>
      </dgm:t>
    </dgm:pt>
    <dgm:pt modelId="{B9FC2BF2-931F-4F95-9662-5F0397D46E9D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DA406D26-BECA-4369-AB37-718339810C16}" type="parTrans" cxnId="{A550CA0D-03A4-4DE2-B169-E4D088FF97A5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0E10BEA3-50AC-4613-A70F-874473816B27}" type="sibTrans" cxnId="{A550CA0D-03A4-4DE2-B169-E4D088FF97A5}">
      <dgm:prSet/>
      <dgm:spPr/>
      <dgm:t>
        <a:bodyPr/>
        <a:lstStyle/>
        <a:p>
          <a:endParaRPr lang="en-US" sz="700"/>
        </a:p>
      </dgm:t>
    </dgm:pt>
    <dgm:pt modelId="{9724AEFC-93E8-4DE5-9067-AB7C7DD1C8A1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CLUMP THICKNESS</a:t>
          </a:r>
        </a:p>
      </dgm:t>
    </dgm:pt>
    <dgm:pt modelId="{8DEE9EFD-C6C6-460A-9C6C-12D078860E8F}" type="parTrans" cxnId="{80D4B00B-94F1-4BA9-8A7F-2CBCEDF63A82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10</a:t>
          </a:r>
        </a:p>
      </dgm:t>
    </dgm:pt>
    <dgm:pt modelId="{9929B4D6-F839-48AA-A067-89B9569DF558}" type="sibTrans" cxnId="{80D4B00B-94F1-4BA9-8A7F-2CBCEDF63A82}">
      <dgm:prSet/>
      <dgm:spPr/>
      <dgm:t>
        <a:bodyPr/>
        <a:lstStyle/>
        <a:p>
          <a:endParaRPr lang="en-US" sz="700"/>
        </a:p>
      </dgm:t>
    </dgm:pt>
    <dgm:pt modelId="{761CC5BC-AAB4-44E9-85E4-6BB8889AD49B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Bare Nucleoli</a:t>
          </a:r>
        </a:p>
      </dgm:t>
    </dgm:pt>
    <dgm:pt modelId="{E875D070-2FF4-4B9D-8604-18C03631C85F}" type="parTrans" cxnId="{9BC066DA-1BDE-493D-A995-65633B1167C0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2</a:t>
          </a:r>
        </a:p>
        <a:p>
          <a:endParaRPr lang="en-US" sz="1050"/>
        </a:p>
      </dgm:t>
    </dgm:pt>
    <dgm:pt modelId="{A50A1922-A735-4262-A575-40DD7313CC9B}" type="sibTrans" cxnId="{9BC066DA-1BDE-493D-A995-65633B1167C0}">
      <dgm:prSet/>
      <dgm:spPr/>
      <dgm:t>
        <a:bodyPr/>
        <a:lstStyle/>
        <a:p>
          <a:endParaRPr lang="en-US" sz="700"/>
        </a:p>
      </dgm:t>
    </dgm:pt>
    <dgm:pt modelId="{D541C300-55BC-4B77-84E8-CDA08FC736CD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8D297A19-0F38-46F4-8DA6-17243F746680}" type="parTrans" cxnId="{44D78C65-CAE0-4C03-BD69-FCE5620C59B6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10</a:t>
          </a:r>
        </a:p>
        <a:p>
          <a:endParaRPr lang="en-US" sz="1050"/>
        </a:p>
      </dgm:t>
    </dgm:pt>
    <dgm:pt modelId="{F04E1FBB-5920-4EB8-A877-ABB28C795F70}" type="sibTrans" cxnId="{44D78C65-CAE0-4C03-BD69-FCE5620C59B6}">
      <dgm:prSet/>
      <dgm:spPr/>
      <dgm:t>
        <a:bodyPr/>
        <a:lstStyle/>
        <a:p>
          <a:endParaRPr lang="en-US" sz="700"/>
        </a:p>
      </dgm:t>
    </dgm:pt>
    <dgm:pt modelId="{F7376214-A691-46F4-ADA8-446B8E6B6538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CLUMP THICKNESS</a:t>
          </a:r>
        </a:p>
      </dgm:t>
    </dgm:pt>
    <dgm:pt modelId="{4C3388EF-4839-483D-8117-800C3F490423}" type="parTrans" cxnId="{B96E6AD4-1FCC-4067-94E2-CA6FBFB09864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5</a:t>
          </a:r>
        </a:p>
      </dgm:t>
    </dgm:pt>
    <dgm:pt modelId="{000F7AD7-423D-4687-8D5F-2DAD4E51D2EF}" type="sibTrans" cxnId="{B96E6AD4-1FCC-4067-94E2-CA6FBFB09864}">
      <dgm:prSet/>
      <dgm:spPr/>
      <dgm:t>
        <a:bodyPr/>
        <a:lstStyle/>
        <a:p>
          <a:endParaRPr lang="en-US" sz="700"/>
        </a:p>
      </dgm:t>
    </dgm:pt>
    <dgm:pt modelId="{89BAD40C-F9BC-4460-8022-3DE4733B9C8A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FFB30BFA-0A35-4B9E-AA87-ABA7988C2C7C}" type="parTrans" cxnId="{1D0DC064-F0D1-4D0D-AD58-71FB37A599FA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48A34B2E-E67A-43B0-9FD6-85E820C4E092}" type="sibTrans" cxnId="{1D0DC064-F0D1-4D0D-AD58-71FB37A599FA}">
      <dgm:prSet/>
      <dgm:spPr/>
      <dgm:t>
        <a:bodyPr/>
        <a:lstStyle/>
        <a:p>
          <a:endParaRPr lang="en-US" sz="700"/>
        </a:p>
      </dgm:t>
    </dgm:pt>
    <dgm:pt modelId="{EE88DF8D-2FDC-4185-B714-EDA9B9AB7FAC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F5E2FFEA-2EFF-49DD-B731-01F1401591BE}" type="parTrans" cxnId="{2C843806-59E1-4B14-BD45-10DFE46D0E9E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2</a:t>
          </a:r>
        </a:p>
      </dgm:t>
    </dgm:pt>
    <dgm:pt modelId="{4DE12C14-1D4C-4E78-88C9-F23B467509DC}" type="sibTrans" cxnId="{2C843806-59E1-4B14-BD45-10DFE46D0E9E}">
      <dgm:prSet/>
      <dgm:spPr/>
      <dgm:t>
        <a:bodyPr/>
        <a:lstStyle/>
        <a:p>
          <a:endParaRPr lang="en-US" sz="700"/>
        </a:p>
      </dgm:t>
    </dgm:pt>
    <dgm:pt modelId="{91F2D88E-974E-46D3-B998-544DF69D109E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C0D5BB41-3723-4E66-B23F-E4C448561C24}" type="parTrans" cxnId="{F003C363-0D97-47B1-AE5D-0033DB7E3817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3</a:t>
          </a:r>
        </a:p>
      </dgm:t>
    </dgm:pt>
    <dgm:pt modelId="{4E930C06-0360-45E4-B823-AA623EBB3D3C}" type="sibTrans" cxnId="{F003C363-0D97-47B1-AE5D-0033DB7E3817}">
      <dgm:prSet/>
      <dgm:spPr/>
      <dgm:t>
        <a:bodyPr/>
        <a:lstStyle/>
        <a:p>
          <a:endParaRPr lang="en-US" sz="700"/>
        </a:p>
      </dgm:t>
    </dgm:pt>
    <dgm:pt modelId="{0A88B9B1-8840-4F9A-AD79-25CA7CFB6BFA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E27C73FD-43F6-4844-B787-0011E2EB6A45}" type="parTrans" cxnId="{A3A6762C-2687-4B4F-AB0C-9E4C39B24C92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4</a:t>
          </a:r>
        </a:p>
      </dgm:t>
    </dgm:pt>
    <dgm:pt modelId="{F798342D-F7A2-466A-9D62-1CFA2442C317}" type="sibTrans" cxnId="{A3A6762C-2687-4B4F-AB0C-9E4C39B24C92}">
      <dgm:prSet/>
      <dgm:spPr/>
      <dgm:t>
        <a:bodyPr/>
        <a:lstStyle/>
        <a:p>
          <a:endParaRPr lang="en-US" sz="700"/>
        </a:p>
      </dgm:t>
    </dgm:pt>
    <dgm:pt modelId="{05859CB5-F0B3-49D6-BC7D-D4558C5EBB27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80CAEC47-4D41-4E72-8B22-4E40EE098994}" type="parTrans" cxnId="{B6643A16-B528-41A6-B166-ABF87B70C8D1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5</a:t>
          </a:r>
        </a:p>
      </dgm:t>
    </dgm:pt>
    <dgm:pt modelId="{8AF7DBDF-A993-4249-86B0-BC3704C930F9}" type="sibTrans" cxnId="{B6643A16-B528-41A6-B166-ABF87B70C8D1}">
      <dgm:prSet/>
      <dgm:spPr/>
      <dgm:t>
        <a:bodyPr/>
        <a:lstStyle/>
        <a:p>
          <a:endParaRPr lang="en-US" sz="700"/>
        </a:p>
      </dgm:t>
    </dgm:pt>
    <dgm:pt modelId="{6886FA2F-99CE-48C6-A7F2-377F31453F25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154C6A6A-0C07-479D-BF35-5A5069D0CA0C}" type="parTrans" cxnId="{011AD78F-99D3-4C0A-BA3D-7B7E237F48FB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6</a:t>
          </a:r>
        </a:p>
      </dgm:t>
    </dgm:pt>
    <dgm:pt modelId="{35BB03D0-2EFB-474F-B965-28FB866A026D}" type="sibTrans" cxnId="{011AD78F-99D3-4C0A-BA3D-7B7E237F48FB}">
      <dgm:prSet/>
      <dgm:spPr/>
      <dgm:t>
        <a:bodyPr/>
        <a:lstStyle/>
        <a:p>
          <a:endParaRPr lang="en-US" sz="700"/>
        </a:p>
      </dgm:t>
    </dgm:pt>
    <dgm:pt modelId="{815B14E8-7409-4D0D-8EAA-14ADF7D71324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514DFECE-18FC-404D-AEBA-31A30533BCBA}" type="parTrans" cxnId="{9278047C-2D79-427D-8A29-896AD04F1CA6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72A3C11A-C7D0-4088-85EC-B186026156D5}" type="sibTrans" cxnId="{9278047C-2D79-427D-8A29-896AD04F1CA6}">
      <dgm:prSet/>
      <dgm:spPr/>
      <dgm:t>
        <a:bodyPr/>
        <a:lstStyle/>
        <a:p>
          <a:endParaRPr lang="en-US" sz="700"/>
        </a:p>
      </dgm:t>
    </dgm:pt>
    <dgm:pt modelId="{C8443D54-2B07-4C58-BFD4-F22684F27CD9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006C277B-FD22-4134-8B23-8A7CE5CDEF09}" type="parTrans" cxnId="{F5787AC9-6A18-4598-AC0A-4B54920850F2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9</a:t>
          </a:r>
        </a:p>
      </dgm:t>
    </dgm:pt>
    <dgm:pt modelId="{7D4885C1-F1C9-43EC-AD6F-D6A59EE315B4}" type="sibTrans" cxnId="{F5787AC9-6A18-4598-AC0A-4B54920850F2}">
      <dgm:prSet/>
      <dgm:spPr/>
      <dgm:t>
        <a:bodyPr/>
        <a:lstStyle/>
        <a:p>
          <a:endParaRPr lang="en-US" sz="700"/>
        </a:p>
      </dgm:t>
    </dgm:pt>
    <dgm:pt modelId="{7971183B-9A71-4D38-8670-F58F1BFBD806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74A63C97-04CB-4849-94F8-12A465E0EB0F}" type="parTrans" cxnId="{86A3DC94-27EA-49FA-9F87-415624EFBD9D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10</a:t>
          </a:r>
        </a:p>
      </dgm:t>
    </dgm:pt>
    <dgm:pt modelId="{058D8FD6-4D4C-4BDB-9445-7861BDC52994}" type="sibTrans" cxnId="{86A3DC94-27EA-49FA-9F87-415624EFBD9D}">
      <dgm:prSet/>
      <dgm:spPr/>
      <dgm:t>
        <a:bodyPr/>
        <a:lstStyle/>
        <a:p>
          <a:endParaRPr lang="en-US" sz="700"/>
        </a:p>
      </dgm:t>
    </dgm:pt>
    <dgm:pt modelId="{71348313-5427-4749-BFAE-F292B4D9A505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BLAND CHROMATIN</a:t>
          </a:r>
        </a:p>
      </dgm:t>
    </dgm:pt>
    <dgm:pt modelId="{C5D54C43-5190-43C0-9696-7980C54CFE3A}" type="parTrans" cxnId="{EFDAEFE8-6A82-4032-B1B7-884179FC5B03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E3041C1F-114E-4BD9-AEA9-E1EC3FC05494}" type="sibTrans" cxnId="{EFDAEFE8-6A82-4032-B1B7-884179FC5B03}">
      <dgm:prSet/>
      <dgm:spPr/>
      <dgm:t>
        <a:bodyPr/>
        <a:lstStyle/>
        <a:p>
          <a:endParaRPr lang="en-US" sz="700"/>
        </a:p>
      </dgm:t>
    </dgm:pt>
    <dgm:pt modelId="{8C79794B-A7E7-4B53-8C78-5B76E10B5172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98BBC753-BACC-4CFD-A556-B3B7028EDE4D}" type="parTrans" cxnId="{A05A5EDD-5C1D-45D8-8978-9DD7B396FAAB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2</a:t>
          </a:r>
        </a:p>
      </dgm:t>
    </dgm:pt>
    <dgm:pt modelId="{12DB4702-F3E7-460F-84D2-7499D2754A4A}" type="sibTrans" cxnId="{A05A5EDD-5C1D-45D8-8978-9DD7B396FAAB}">
      <dgm:prSet/>
      <dgm:spPr/>
      <dgm:t>
        <a:bodyPr/>
        <a:lstStyle/>
        <a:p>
          <a:endParaRPr lang="en-US" sz="700"/>
        </a:p>
      </dgm:t>
    </dgm:pt>
    <dgm:pt modelId="{AE1D277E-0D81-44F7-8D85-667675EBEF11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CLUMP THICKNESS</a:t>
          </a:r>
        </a:p>
      </dgm:t>
    </dgm:pt>
    <dgm:pt modelId="{D925D0E8-8CDE-481B-8AE6-85A0853D9EF1}" type="parTrans" cxnId="{31F66CBB-EAFB-4633-94E2-1CEA10328B31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3</a:t>
          </a:r>
        </a:p>
      </dgm:t>
    </dgm:pt>
    <dgm:pt modelId="{2603B764-8C9E-41C5-AA92-0079332FCFD1}" type="sibTrans" cxnId="{31F66CBB-EAFB-4633-94E2-1CEA10328B31}">
      <dgm:prSet/>
      <dgm:spPr/>
      <dgm:t>
        <a:bodyPr/>
        <a:lstStyle/>
        <a:p>
          <a:endParaRPr lang="en-US" sz="700"/>
        </a:p>
      </dgm:t>
    </dgm:pt>
    <dgm:pt modelId="{363F7C78-3B17-4409-BD31-352837B385F4}">
      <dgm:prSet phldrT="[Text]"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CLUMP THICKNESS</a:t>
          </a:r>
        </a:p>
      </dgm:t>
    </dgm:pt>
    <dgm:pt modelId="{923B5E93-0C3C-49BA-ABC2-945B100B09A3}" type="parTrans" cxnId="{D810C9A5-96AC-4D42-8D0E-8AE115F066EB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4</a:t>
          </a:r>
        </a:p>
      </dgm:t>
    </dgm:pt>
    <dgm:pt modelId="{A9771027-CC60-4B8C-B6E8-1F25B58E4EF8}" type="sibTrans" cxnId="{D810C9A5-96AC-4D42-8D0E-8AE115F066EB}">
      <dgm:prSet/>
      <dgm:spPr/>
      <dgm:t>
        <a:bodyPr/>
        <a:lstStyle/>
        <a:p>
          <a:endParaRPr lang="en-US" sz="700"/>
        </a:p>
      </dgm:t>
    </dgm:pt>
    <dgm:pt modelId="{2DC50D0B-310D-40C2-B516-275575FE14D8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CB0E3E3D-174B-4957-B1EE-2C0C7AA23ED9}" type="parTrans" cxnId="{538E1AD7-4B5D-4B14-94A4-D9AD088206AA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6</a:t>
          </a:r>
        </a:p>
      </dgm:t>
    </dgm:pt>
    <dgm:pt modelId="{BC3E66CE-A271-4843-9497-052169B0E36D}" type="sibTrans" cxnId="{538E1AD7-4B5D-4B14-94A4-D9AD088206AA}">
      <dgm:prSet/>
      <dgm:spPr/>
      <dgm:t>
        <a:bodyPr/>
        <a:lstStyle/>
        <a:p>
          <a:endParaRPr lang="en-US" sz="700"/>
        </a:p>
      </dgm:t>
    </dgm:pt>
    <dgm:pt modelId="{0831F7D8-7F8A-47BC-8186-DC8D41B52038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8CF5BAA9-D4BC-41B1-A494-B067ABFA1141}" type="parTrans" cxnId="{D53E1D23-CB06-4557-B758-57DD34221E35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7</a:t>
          </a:r>
        </a:p>
      </dgm:t>
    </dgm:pt>
    <dgm:pt modelId="{AF09CE5A-5B88-42AF-B6BC-6122B1C15D4D}" type="sibTrans" cxnId="{D53E1D23-CB06-4557-B758-57DD34221E35}">
      <dgm:prSet/>
      <dgm:spPr/>
      <dgm:t>
        <a:bodyPr/>
        <a:lstStyle/>
        <a:p>
          <a:endParaRPr lang="en-US" sz="700"/>
        </a:p>
      </dgm:t>
    </dgm:pt>
    <dgm:pt modelId="{71F0DE30-5B8E-4E8D-A93B-72B60C46F165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29AAA6F0-42AF-4C67-B95B-8C52A4F20C52}" type="parTrans" cxnId="{6B939023-8E0D-4890-A5E4-F14F49F351EE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10</a:t>
          </a:r>
        </a:p>
      </dgm:t>
    </dgm:pt>
    <dgm:pt modelId="{90B63C73-D04A-4A8C-8F72-ED52AF8FFF2C}" type="sibTrans" cxnId="{6B939023-8E0D-4890-A5E4-F14F49F351EE}">
      <dgm:prSet/>
      <dgm:spPr/>
      <dgm:t>
        <a:bodyPr/>
        <a:lstStyle/>
        <a:p>
          <a:endParaRPr lang="en-US" sz="700"/>
        </a:p>
      </dgm:t>
    </dgm:pt>
    <dgm:pt modelId="{9F18CCEE-ABC3-4F40-BA35-D528B6C3EBF9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68293CCD-4B21-4476-BC6D-11F9909B47DD}" type="parTrans" cxnId="{D894F618-FACF-4CE5-AF20-ABF5BFE67187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1</a:t>
          </a:r>
        </a:p>
      </dgm:t>
    </dgm:pt>
    <dgm:pt modelId="{9A2C1BC9-8BA7-4CC7-B6A6-F14E6C39EA7A}" type="sibTrans" cxnId="{D894F618-FACF-4CE5-AF20-ABF5BFE67187}">
      <dgm:prSet/>
      <dgm:spPr/>
      <dgm:t>
        <a:bodyPr/>
        <a:lstStyle/>
        <a:p>
          <a:endParaRPr lang="en-US" sz="700"/>
        </a:p>
      </dgm:t>
    </dgm:pt>
    <dgm:pt modelId="{DA076C16-F3E8-4D9A-A23B-09C15A249C29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D8987359-6F8E-4A42-810C-0A946A6180D8}" type="parTrans" cxnId="{59CFFB66-8521-45BD-8A7C-E1CED1931081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2</a:t>
          </a:r>
        </a:p>
      </dgm:t>
    </dgm:pt>
    <dgm:pt modelId="{2ED83A9F-5265-4840-936D-79720CF7139F}" type="sibTrans" cxnId="{59CFFB66-8521-45BD-8A7C-E1CED1931081}">
      <dgm:prSet/>
      <dgm:spPr/>
      <dgm:t>
        <a:bodyPr/>
        <a:lstStyle/>
        <a:p>
          <a:endParaRPr lang="en-US" sz="700"/>
        </a:p>
      </dgm:t>
    </dgm:pt>
    <dgm:pt modelId="{FACA4EEE-B782-43AB-B045-0D53A69EA0FE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19877201-5620-4D09-8F08-FAE4BFB26E58}" type="parTrans" cxnId="{E0189EB5-76A1-4BC3-A98F-A9FC73E30FC8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3</a:t>
          </a:r>
        </a:p>
      </dgm:t>
    </dgm:pt>
    <dgm:pt modelId="{8E5DE91D-4D15-40F2-8BD9-DFAFF9D330E8}" type="sibTrans" cxnId="{E0189EB5-76A1-4BC3-A98F-A9FC73E30FC8}">
      <dgm:prSet/>
      <dgm:spPr/>
      <dgm:t>
        <a:bodyPr/>
        <a:lstStyle/>
        <a:p>
          <a:endParaRPr lang="en-US" sz="700"/>
        </a:p>
      </dgm:t>
    </dgm:pt>
    <dgm:pt modelId="{CFBC149F-06A3-446E-A61F-918C8120BD3B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FE4E9C97-E62D-44C7-B309-F774C334F84E}" type="parTrans" cxnId="{C060AE33-E025-4520-98C4-DCC9D9D991B4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4</a:t>
          </a:r>
        </a:p>
      </dgm:t>
    </dgm:pt>
    <dgm:pt modelId="{62CB8BEC-667F-4EE7-A301-FABBA77C7C07}" type="sibTrans" cxnId="{C060AE33-E025-4520-98C4-DCC9D9D991B4}">
      <dgm:prSet/>
      <dgm:spPr/>
      <dgm:t>
        <a:bodyPr/>
        <a:lstStyle/>
        <a:p>
          <a:endParaRPr lang="en-US" sz="700"/>
        </a:p>
      </dgm:t>
    </dgm:pt>
    <dgm:pt modelId="{0A14ADF9-8240-4EB3-85DD-C2A283146E20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A0B7BD2C-5A98-43EE-9F47-8CB94EE2DD60}" type="parTrans" cxnId="{6F98F3B0-8B28-41CE-802C-DE04276BB63B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5</a:t>
          </a:r>
        </a:p>
      </dgm:t>
    </dgm:pt>
    <dgm:pt modelId="{CAEFAF3F-3E71-4233-B841-475AE40441DA}" type="sibTrans" cxnId="{6F98F3B0-8B28-41CE-802C-DE04276BB63B}">
      <dgm:prSet/>
      <dgm:spPr/>
      <dgm:t>
        <a:bodyPr/>
        <a:lstStyle/>
        <a:p>
          <a:endParaRPr lang="en-US" sz="700"/>
        </a:p>
      </dgm:t>
    </dgm:pt>
    <dgm:pt modelId="{5C5754F0-C16F-4D6C-8769-31757C1B8575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A29A2ED0-1151-468A-9105-7CC0D1EF2704}" type="parTrans" cxnId="{C7136C23-F34E-430E-9588-92025DB3D0FA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7</a:t>
          </a:r>
        </a:p>
      </dgm:t>
    </dgm:pt>
    <dgm:pt modelId="{68E97992-3567-463B-A8E8-983A6597CE87}" type="sibTrans" cxnId="{C7136C23-F34E-430E-9588-92025DB3D0FA}">
      <dgm:prSet/>
      <dgm:spPr/>
      <dgm:t>
        <a:bodyPr/>
        <a:lstStyle/>
        <a:p>
          <a:endParaRPr lang="en-US" sz="700"/>
        </a:p>
      </dgm:t>
    </dgm:pt>
    <dgm:pt modelId="{773FC346-12AC-43D3-85E6-2620846609A2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6812DF29-D484-4824-AE89-2B3092C5D790}" type="parTrans" cxnId="{A1A8B8FC-37E2-432D-BA95-29B1C8ADA3B3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3</a:t>
          </a:r>
        </a:p>
      </dgm:t>
    </dgm:pt>
    <dgm:pt modelId="{C8DF8869-5E77-4C91-90FE-6404C898BAC3}" type="sibTrans" cxnId="{A1A8B8FC-37E2-432D-BA95-29B1C8ADA3B3}">
      <dgm:prSet/>
      <dgm:spPr/>
      <dgm:t>
        <a:bodyPr/>
        <a:lstStyle/>
        <a:p>
          <a:endParaRPr lang="en-US" sz="700"/>
        </a:p>
      </dgm:t>
    </dgm:pt>
    <dgm:pt modelId="{77C6CB81-1D50-450C-BA10-EC1F6FAEBBF4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15CB56BB-9238-4A6D-B901-D67699685175}" type="parTrans" cxnId="{F0665B59-70F3-40DE-8065-9F2E29676743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8</a:t>
          </a:r>
        </a:p>
      </dgm:t>
    </dgm:pt>
    <dgm:pt modelId="{3915F848-4F44-4C12-8C5A-174B9C4AA980}" type="sibTrans" cxnId="{F0665B59-70F3-40DE-8065-9F2E29676743}">
      <dgm:prSet/>
      <dgm:spPr/>
      <dgm:t>
        <a:bodyPr/>
        <a:lstStyle/>
        <a:p>
          <a:endParaRPr lang="en-US" sz="700"/>
        </a:p>
      </dgm:t>
    </dgm:pt>
    <dgm:pt modelId="{FC7D8CF0-3A67-41F1-97BB-6F5D575A8C5F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CDD38BF9-7009-4BCD-95D7-012BAF7E760B}" type="parTrans" cxnId="{FD0CE876-4C5F-4CA4-9800-7E824A68682A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5</a:t>
          </a:r>
        </a:p>
      </dgm:t>
    </dgm:pt>
    <dgm:pt modelId="{3DD364A8-3BC0-4C7D-80F4-724C55BF3758}" type="sibTrans" cxnId="{FD0CE876-4C5F-4CA4-9800-7E824A68682A}">
      <dgm:prSet/>
      <dgm:spPr/>
      <dgm:t>
        <a:bodyPr/>
        <a:lstStyle/>
        <a:p>
          <a:endParaRPr lang="en-US" sz="700"/>
        </a:p>
      </dgm:t>
    </dgm:pt>
    <dgm:pt modelId="{977E46F2-A718-4A69-9B6C-F6E6741677ED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60457A8D-48F9-4948-A3A1-64DED9A9BCD2}" type="parTrans" cxnId="{04F76777-2117-4F2E-84DA-985D60CD3452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7</a:t>
          </a:r>
        </a:p>
      </dgm:t>
    </dgm:pt>
    <dgm:pt modelId="{56B189A5-8545-4D15-BCBF-14A3A68BBB52}" type="sibTrans" cxnId="{04F76777-2117-4F2E-84DA-985D60CD3452}">
      <dgm:prSet/>
      <dgm:spPr/>
      <dgm:t>
        <a:bodyPr/>
        <a:lstStyle/>
        <a:p>
          <a:endParaRPr lang="en-US" sz="700"/>
        </a:p>
      </dgm:t>
    </dgm:pt>
    <dgm:pt modelId="{AE1F0F04-1631-42AF-ABCE-3425E79BF783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A3E186D0-BC4C-4A2B-B77D-FE5BEA53EA15}" type="sibTrans" cxnId="{2CEE58E9-8EF8-4ABA-80E3-994E3F1215B7}">
      <dgm:prSet/>
      <dgm:spPr/>
      <dgm:t>
        <a:bodyPr/>
        <a:lstStyle/>
        <a:p>
          <a:endParaRPr lang="en-US" sz="700"/>
        </a:p>
      </dgm:t>
    </dgm:pt>
    <dgm:pt modelId="{F3E7D78B-73E2-42FA-9955-E458B7138E79}" type="parTrans" cxnId="{2CEE58E9-8EF8-4ABA-80E3-994E3F1215B7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2</a:t>
          </a:r>
        </a:p>
      </dgm:t>
    </dgm:pt>
    <dgm:pt modelId="{41FD6689-9F33-4A4F-8603-AA18B86A1732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1FE73033-435A-48B4-9298-A489FF454C3C}" type="sibTrans" cxnId="{4DF6B065-22C3-4040-B0C9-946011AC66A6}">
      <dgm:prSet/>
      <dgm:spPr/>
      <dgm:t>
        <a:bodyPr/>
        <a:lstStyle/>
        <a:p>
          <a:endParaRPr lang="en-US" sz="700"/>
        </a:p>
      </dgm:t>
    </dgm:pt>
    <dgm:pt modelId="{2685B63D-3873-4FF9-AE45-260D4E657C8A}" type="parTrans" cxnId="{4DF6B065-22C3-4040-B0C9-946011AC66A6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3</a:t>
          </a:r>
        </a:p>
      </dgm:t>
    </dgm:pt>
    <dgm:pt modelId="{18CF2DDF-9365-4EAA-9494-BF321E4874E3}">
      <dgm:prSet phldrT="[Text]" custT="1"/>
      <dgm:spPr>
        <a:solidFill>
          <a:schemeClr val="accent2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F</a:t>
          </a:r>
        </a:p>
      </dgm:t>
    </dgm:pt>
    <dgm:pt modelId="{BCB06F48-F230-49D1-AD94-739F3B1B7692}" type="sibTrans" cxnId="{B0A88EE2-F5BC-4A25-8225-B4949ED9288A}">
      <dgm:prSet/>
      <dgm:spPr/>
      <dgm:t>
        <a:bodyPr/>
        <a:lstStyle/>
        <a:p>
          <a:endParaRPr lang="en-US" sz="700"/>
        </a:p>
      </dgm:t>
    </dgm:pt>
    <dgm:pt modelId="{93539560-4C96-433A-88AA-80C2ADE561C8}" type="parTrans" cxnId="{B0A88EE2-F5BC-4A25-8225-B4949ED9288A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4</a:t>
          </a:r>
        </a:p>
      </dgm:t>
    </dgm:pt>
    <dgm:pt modelId="{13201B20-5ECA-42C9-8A05-168DF0A4B8C1}">
      <dgm:prSet phldrT="[Text]" custT="1"/>
      <dgm:spPr>
        <a:solidFill>
          <a:srgbClr val="92D050"/>
        </a:solidFill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T</a:t>
          </a:r>
        </a:p>
      </dgm:t>
    </dgm:pt>
    <dgm:pt modelId="{0D93A3BF-EC23-413A-AE62-E9E9B29E3707}" type="sibTrans" cxnId="{C743FE0E-B114-456F-8B49-E921E774E16F}">
      <dgm:prSet/>
      <dgm:spPr/>
      <dgm:t>
        <a:bodyPr/>
        <a:lstStyle/>
        <a:p>
          <a:endParaRPr lang="en-US" sz="700"/>
        </a:p>
      </dgm:t>
    </dgm:pt>
    <dgm:pt modelId="{4B5F2143-0900-414D-8A43-D0FCABFADA6A}" type="parTrans" cxnId="{C743FE0E-B114-456F-8B49-E921E774E16F}">
      <dgm:prSet custT="1"/>
      <dgm:spPr>
        <a:ln w="9525">
          <a:solidFill>
            <a:sysClr val="windowText" lastClr="000000"/>
          </a:solidFill>
        </a:ln>
      </dgm:spPr>
      <dgm:t>
        <a:bodyPr/>
        <a:lstStyle/>
        <a:p>
          <a:r>
            <a:rPr lang="en-US" sz="1050"/>
            <a:t>8</a:t>
          </a:r>
        </a:p>
      </dgm:t>
    </dgm:pt>
    <dgm:pt modelId="{90053632-2939-4918-86BF-39FC82CC8D75}" type="pres">
      <dgm:prSet presAssocID="{3D63419E-AF85-4812-A24A-B69B3EE7C2FE}" presName="diagram" presStyleCnt="0">
        <dgm:presLayoutVars>
          <dgm:chPref val="1"/>
          <dgm:dir/>
          <dgm:animOne val="branch"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0475EED3-FBCB-4675-8D4A-89951E4B34EA}" type="pres">
      <dgm:prSet presAssocID="{13D08A5D-1E8D-4267-808D-27AF896B9F30}" presName="root1" presStyleCnt="0"/>
      <dgm:spPr/>
    </dgm:pt>
    <dgm:pt modelId="{BB5637B9-AD5A-4DF1-B0D7-20531727254E}" type="pres">
      <dgm:prSet presAssocID="{13D08A5D-1E8D-4267-808D-27AF896B9F30}" presName="LevelOneTextNode" presStyleLbl="node0" presStyleIdx="0" presStyleCnt="1" custLinFactX="-508708" custLinFactNeighborX="-600000" custLinFactNeighborY="-20675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52EF29A-3AB6-4D6B-942C-2E015EC79366}" type="pres">
      <dgm:prSet presAssocID="{13D08A5D-1E8D-4267-808D-27AF896B9F30}" presName="level2hierChild" presStyleCnt="0"/>
      <dgm:spPr/>
    </dgm:pt>
    <dgm:pt modelId="{9D20A1FE-273A-4602-A277-C50020FF8774}" type="pres">
      <dgm:prSet presAssocID="{8CF501BB-EA8C-4A5E-91EE-698268077429}" presName="conn2-1" presStyleLbl="parChTrans1D2" presStyleIdx="0" presStyleCnt="3"/>
      <dgm:spPr/>
      <dgm:t>
        <a:bodyPr/>
        <a:lstStyle/>
        <a:p>
          <a:endParaRPr lang="en-US"/>
        </a:p>
      </dgm:t>
    </dgm:pt>
    <dgm:pt modelId="{7C2031DF-CA55-4D35-AC23-BD26EC0AC54D}" type="pres">
      <dgm:prSet presAssocID="{8CF501BB-EA8C-4A5E-91EE-698268077429}" presName="connTx" presStyleLbl="parChTrans1D2" presStyleIdx="0" presStyleCnt="3"/>
      <dgm:spPr/>
      <dgm:t>
        <a:bodyPr/>
        <a:lstStyle/>
        <a:p>
          <a:endParaRPr lang="en-US"/>
        </a:p>
      </dgm:t>
    </dgm:pt>
    <dgm:pt modelId="{D98B630A-B347-470D-B7D1-1DECA3493165}" type="pres">
      <dgm:prSet presAssocID="{82A5275F-A1F7-406F-B713-2E5F279C3667}" presName="root2" presStyleCnt="0"/>
      <dgm:spPr/>
    </dgm:pt>
    <dgm:pt modelId="{4A92D06A-4F25-4323-AC01-789A2832BE3E}" type="pres">
      <dgm:prSet presAssocID="{82A5275F-A1F7-406F-B713-2E5F279C3667}" presName="LevelTwoTextNode" presStyleLbl="node2" presStyleIdx="0" presStyleCnt="3" custLinFactX="-380489" custLinFactY="-55065" custLinFactNeighborX="-400000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86D9FEA-30B4-4E02-940E-1A8E8FF25315}" type="pres">
      <dgm:prSet presAssocID="{82A5275F-A1F7-406F-B713-2E5F279C3667}" presName="level3hierChild" presStyleCnt="0"/>
      <dgm:spPr/>
    </dgm:pt>
    <dgm:pt modelId="{4896DAE7-CA02-4CD6-A3D7-BB714EF7AAE5}" type="pres">
      <dgm:prSet presAssocID="{DA406D26-BECA-4369-AB37-718339810C16}" presName="conn2-1" presStyleLbl="parChTrans1D3" presStyleIdx="0" presStyleCnt="14"/>
      <dgm:spPr/>
      <dgm:t>
        <a:bodyPr/>
        <a:lstStyle/>
        <a:p>
          <a:endParaRPr lang="en-US"/>
        </a:p>
      </dgm:t>
    </dgm:pt>
    <dgm:pt modelId="{BDC76149-E28D-4EA4-AAA1-6706D3589E25}" type="pres">
      <dgm:prSet presAssocID="{DA406D26-BECA-4369-AB37-718339810C16}" presName="connTx" presStyleLbl="parChTrans1D3" presStyleIdx="0" presStyleCnt="14"/>
      <dgm:spPr/>
      <dgm:t>
        <a:bodyPr/>
        <a:lstStyle/>
        <a:p>
          <a:endParaRPr lang="en-US"/>
        </a:p>
      </dgm:t>
    </dgm:pt>
    <dgm:pt modelId="{780F99F3-8869-4881-A3BE-14A4113A1690}" type="pres">
      <dgm:prSet presAssocID="{B9FC2BF2-931F-4F95-9662-5F0397D46E9D}" presName="root2" presStyleCnt="0"/>
      <dgm:spPr/>
    </dgm:pt>
    <dgm:pt modelId="{4B609013-FE7C-41B2-B0D0-4017D8381C7E}" type="pres">
      <dgm:prSet presAssocID="{B9FC2BF2-931F-4F95-9662-5F0397D46E9D}" presName="LevelTwoTextNode" presStyleLbl="node3" presStyleIdx="0" presStyleCnt="1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95329F4-7F7F-4A7B-ADD5-94C99CCC0F12}" type="pres">
      <dgm:prSet presAssocID="{B9FC2BF2-931F-4F95-9662-5F0397D46E9D}" presName="level3hierChild" presStyleCnt="0"/>
      <dgm:spPr/>
    </dgm:pt>
    <dgm:pt modelId="{2E259732-4D4A-45B9-9BAB-75AFDB70EF34}" type="pres">
      <dgm:prSet presAssocID="{F3E7D78B-73E2-42FA-9955-E458B7138E79}" presName="conn2-1" presStyleLbl="parChTrans1D3" presStyleIdx="1" presStyleCnt="14"/>
      <dgm:spPr/>
      <dgm:t>
        <a:bodyPr/>
        <a:lstStyle/>
        <a:p>
          <a:endParaRPr lang="en-US"/>
        </a:p>
      </dgm:t>
    </dgm:pt>
    <dgm:pt modelId="{4CA55BEE-520C-4AA4-B3AC-6759DD0F6C87}" type="pres">
      <dgm:prSet presAssocID="{F3E7D78B-73E2-42FA-9955-E458B7138E79}" presName="connTx" presStyleLbl="parChTrans1D3" presStyleIdx="1" presStyleCnt="14"/>
      <dgm:spPr/>
      <dgm:t>
        <a:bodyPr/>
        <a:lstStyle/>
        <a:p>
          <a:endParaRPr lang="en-US"/>
        </a:p>
      </dgm:t>
    </dgm:pt>
    <dgm:pt modelId="{0881B2C7-BB5A-43B5-BA69-A5D6EACC59D1}" type="pres">
      <dgm:prSet presAssocID="{AE1F0F04-1631-42AF-ABCE-3425E79BF783}" presName="root2" presStyleCnt="0"/>
      <dgm:spPr/>
    </dgm:pt>
    <dgm:pt modelId="{1B35BE22-2F04-46C2-BE03-C38E6B4A18D2}" type="pres">
      <dgm:prSet presAssocID="{AE1F0F04-1631-42AF-ABCE-3425E79BF783}" presName="LevelTwoTextNode" presStyleLbl="node3" presStyleIdx="1" presStyleCnt="1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39A44F2-4135-4054-801B-4D6C7EDE239C}" type="pres">
      <dgm:prSet presAssocID="{AE1F0F04-1631-42AF-ABCE-3425E79BF783}" presName="level3hierChild" presStyleCnt="0"/>
      <dgm:spPr/>
    </dgm:pt>
    <dgm:pt modelId="{0C0B1B24-32B6-4A1A-AEB3-5FD057FAE234}" type="pres">
      <dgm:prSet presAssocID="{2685B63D-3873-4FF9-AE45-260D4E657C8A}" presName="conn2-1" presStyleLbl="parChTrans1D3" presStyleIdx="2" presStyleCnt="14"/>
      <dgm:spPr/>
      <dgm:t>
        <a:bodyPr/>
        <a:lstStyle/>
        <a:p>
          <a:endParaRPr lang="en-US"/>
        </a:p>
      </dgm:t>
    </dgm:pt>
    <dgm:pt modelId="{B4D986C1-9722-47AD-B205-09A37D059787}" type="pres">
      <dgm:prSet presAssocID="{2685B63D-3873-4FF9-AE45-260D4E657C8A}" presName="connTx" presStyleLbl="parChTrans1D3" presStyleIdx="2" presStyleCnt="14"/>
      <dgm:spPr/>
      <dgm:t>
        <a:bodyPr/>
        <a:lstStyle/>
        <a:p>
          <a:endParaRPr lang="en-US"/>
        </a:p>
      </dgm:t>
    </dgm:pt>
    <dgm:pt modelId="{22C8BCD9-EA6B-4F99-882A-B836DFB25FF6}" type="pres">
      <dgm:prSet presAssocID="{41FD6689-9F33-4A4F-8603-AA18B86A1732}" presName="root2" presStyleCnt="0"/>
      <dgm:spPr/>
    </dgm:pt>
    <dgm:pt modelId="{76825CE1-92BD-484F-9193-7F22A6F7FE34}" type="pres">
      <dgm:prSet presAssocID="{41FD6689-9F33-4A4F-8603-AA18B86A1732}" presName="LevelTwoTextNode" presStyleLbl="node3" presStyleIdx="2" presStyleCnt="1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F89FB50-2A46-40CC-8766-F6180FB23436}" type="pres">
      <dgm:prSet presAssocID="{41FD6689-9F33-4A4F-8603-AA18B86A1732}" presName="level3hierChild" presStyleCnt="0"/>
      <dgm:spPr/>
    </dgm:pt>
    <dgm:pt modelId="{AC9ACBFE-11B0-48A5-8991-E653A44146FA}" type="pres">
      <dgm:prSet presAssocID="{93539560-4C96-433A-88AA-80C2ADE561C8}" presName="conn2-1" presStyleLbl="parChTrans1D3" presStyleIdx="3" presStyleCnt="14"/>
      <dgm:spPr/>
      <dgm:t>
        <a:bodyPr/>
        <a:lstStyle/>
        <a:p>
          <a:endParaRPr lang="en-US"/>
        </a:p>
      </dgm:t>
    </dgm:pt>
    <dgm:pt modelId="{CBFAB40B-5683-4F2D-A030-17372AF3A63D}" type="pres">
      <dgm:prSet presAssocID="{93539560-4C96-433A-88AA-80C2ADE561C8}" presName="connTx" presStyleLbl="parChTrans1D3" presStyleIdx="3" presStyleCnt="14"/>
      <dgm:spPr/>
      <dgm:t>
        <a:bodyPr/>
        <a:lstStyle/>
        <a:p>
          <a:endParaRPr lang="en-US"/>
        </a:p>
      </dgm:t>
    </dgm:pt>
    <dgm:pt modelId="{609AE158-2453-4228-B1B0-FC72A62532DB}" type="pres">
      <dgm:prSet presAssocID="{18CF2DDF-9365-4EAA-9494-BF321E4874E3}" presName="root2" presStyleCnt="0"/>
      <dgm:spPr/>
    </dgm:pt>
    <dgm:pt modelId="{DE8B67CB-5CB0-4889-840C-0FBE6AA9AACA}" type="pres">
      <dgm:prSet presAssocID="{18CF2DDF-9365-4EAA-9494-BF321E4874E3}" presName="LevelTwoTextNode" presStyleLbl="node3" presStyleIdx="3" presStyleCnt="1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C0FDAD4-B703-4F8B-9437-7428A3648C9B}" type="pres">
      <dgm:prSet presAssocID="{18CF2DDF-9365-4EAA-9494-BF321E4874E3}" presName="level3hierChild" presStyleCnt="0"/>
      <dgm:spPr/>
    </dgm:pt>
    <dgm:pt modelId="{D89D0FAC-93CE-4E83-8F6E-E619B382ED37}" type="pres">
      <dgm:prSet presAssocID="{4C3388EF-4839-483D-8117-800C3F490423}" presName="conn2-1" presStyleLbl="parChTrans1D3" presStyleIdx="4" presStyleCnt="14"/>
      <dgm:spPr/>
      <dgm:t>
        <a:bodyPr/>
        <a:lstStyle/>
        <a:p>
          <a:endParaRPr lang="en-US"/>
        </a:p>
      </dgm:t>
    </dgm:pt>
    <dgm:pt modelId="{667DBAFB-17B2-47E3-8B7B-1A420FF87C9E}" type="pres">
      <dgm:prSet presAssocID="{4C3388EF-4839-483D-8117-800C3F490423}" presName="connTx" presStyleLbl="parChTrans1D3" presStyleIdx="4" presStyleCnt="14"/>
      <dgm:spPr/>
      <dgm:t>
        <a:bodyPr/>
        <a:lstStyle/>
        <a:p>
          <a:endParaRPr lang="en-US"/>
        </a:p>
      </dgm:t>
    </dgm:pt>
    <dgm:pt modelId="{D1C1BA65-917E-4F13-AD1C-0F488EE0EE8D}" type="pres">
      <dgm:prSet presAssocID="{F7376214-A691-46F4-ADA8-446B8E6B6538}" presName="root2" presStyleCnt="0"/>
      <dgm:spPr/>
    </dgm:pt>
    <dgm:pt modelId="{F00660F1-6F38-4D54-9BC9-19D75E9F374B}" type="pres">
      <dgm:prSet presAssocID="{F7376214-A691-46F4-ADA8-446B8E6B6538}" presName="LevelTwoTextNode" presStyleLbl="node3" presStyleIdx="4" presStyleCnt="14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F4CD19D-6A1F-4AB9-9DD6-EA8474D2FAED}" type="pres">
      <dgm:prSet presAssocID="{F7376214-A691-46F4-ADA8-446B8E6B6538}" presName="level3hierChild" presStyleCnt="0"/>
      <dgm:spPr/>
    </dgm:pt>
    <dgm:pt modelId="{E6CD0E54-4C27-4653-B74F-A7AACD0F2C83}" type="pres">
      <dgm:prSet presAssocID="{FFB30BFA-0A35-4B9E-AA87-ABA7988C2C7C}" presName="conn2-1" presStyleLbl="parChTrans1D4" presStyleIdx="0" presStyleCnt="19"/>
      <dgm:spPr/>
      <dgm:t>
        <a:bodyPr/>
        <a:lstStyle/>
        <a:p>
          <a:endParaRPr lang="en-US"/>
        </a:p>
      </dgm:t>
    </dgm:pt>
    <dgm:pt modelId="{EE5E6A15-7240-4487-A32D-40C43CB0BC7F}" type="pres">
      <dgm:prSet presAssocID="{FFB30BFA-0A35-4B9E-AA87-ABA7988C2C7C}" presName="connTx" presStyleLbl="parChTrans1D4" presStyleIdx="0" presStyleCnt="19"/>
      <dgm:spPr/>
      <dgm:t>
        <a:bodyPr/>
        <a:lstStyle/>
        <a:p>
          <a:endParaRPr lang="en-US"/>
        </a:p>
      </dgm:t>
    </dgm:pt>
    <dgm:pt modelId="{FB15E980-518D-494D-99FF-71716EA7897C}" type="pres">
      <dgm:prSet presAssocID="{89BAD40C-F9BC-4460-8022-3DE4733B9C8A}" presName="root2" presStyleCnt="0"/>
      <dgm:spPr/>
    </dgm:pt>
    <dgm:pt modelId="{DC64718A-BBE3-499D-AFDD-BDBEEB490DBE}" type="pres">
      <dgm:prSet presAssocID="{89BAD40C-F9BC-4460-8022-3DE4733B9C8A}" presName="LevelTwoTextNode" presStyleLbl="node4" presStyleIdx="0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2F22619-0DCC-444B-8360-271FCE0C39B8}" type="pres">
      <dgm:prSet presAssocID="{89BAD40C-F9BC-4460-8022-3DE4733B9C8A}" presName="level3hierChild" presStyleCnt="0"/>
      <dgm:spPr/>
    </dgm:pt>
    <dgm:pt modelId="{B6389B8A-E724-46AA-AECB-FE26D88A4F51}" type="pres">
      <dgm:prSet presAssocID="{F5E2FFEA-2EFF-49DD-B731-01F1401591BE}" presName="conn2-1" presStyleLbl="parChTrans1D4" presStyleIdx="1" presStyleCnt="19"/>
      <dgm:spPr/>
      <dgm:t>
        <a:bodyPr/>
        <a:lstStyle/>
        <a:p>
          <a:endParaRPr lang="en-US"/>
        </a:p>
      </dgm:t>
    </dgm:pt>
    <dgm:pt modelId="{78CC4E6D-FC1F-40A0-AF41-9598E33ACC69}" type="pres">
      <dgm:prSet presAssocID="{F5E2FFEA-2EFF-49DD-B731-01F1401591BE}" presName="connTx" presStyleLbl="parChTrans1D4" presStyleIdx="1" presStyleCnt="19"/>
      <dgm:spPr/>
      <dgm:t>
        <a:bodyPr/>
        <a:lstStyle/>
        <a:p>
          <a:endParaRPr lang="en-US"/>
        </a:p>
      </dgm:t>
    </dgm:pt>
    <dgm:pt modelId="{B1DD5F8E-5C18-439F-85C6-DDEC9541B1C3}" type="pres">
      <dgm:prSet presAssocID="{EE88DF8D-2FDC-4185-B714-EDA9B9AB7FAC}" presName="root2" presStyleCnt="0"/>
      <dgm:spPr/>
    </dgm:pt>
    <dgm:pt modelId="{A8F80129-0E58-4542-8B06-E75084BBAB95}" type="pres">
      <dgm:prSet presAssocID="{EE88DF8D-2FDC-4185-B714-EDA9B9AB7FAC}" presName="LevelTwoTextNode" presStyleLbl="node4" presStyleIdx="1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0590A00-8C52-447D-AD02-C38CAD8D7F89}" type="pres">
      <dgm:prSet presAssocID="{EE88DF8D-2FDC-4185-B714-EDA9B9AB7FAC}" presName="level3hierChild" presStyleCnt="0"/>
      <dgm:spPr/>
    </dgm:pt>
    <dgm:pt modelId="{CAFE1ABB-C4AB-4911-9B91-620A848B5AA4}" type="pres">
      <dgm:prSet presAssocID="{C0D5BB41-3723-4E66-B23F-E4C448561C24}" presName="conn2-1" presStyleLbl="parChTrans1D4" presStyleIdx="2" presStyleCnt="19"/>
      <dgm:spPr/>
      <dgm:t>
        <a:bodyPr/>
        <a:lstStyle/>
        <a:p>
          <a:endParaRPr lang="en-US"/>
        </a:p>
      </dgm:t>
    </dgm:pt>
    <dgm:pt modelId="{2A816277-34F0-4EB8-AF76-6E3D7D0A1057}" type="pres">
      <dgm:prSet presAssocID="{C0D5BB41-3723-4E66-B23F-E4C448561C24}" presName="connTx" presStyleLbl="parChTrans1D4" presStyleIdx="2" presStyleCnt="19"/>
      <dgm:spPr/>
      <dgm:t>
        <a:bodyPr/>
        <a:lstStyle/>
        <a:p>
          <a:endParaRPr lang="en-US"/>
        </a:p>
      </dgm:t>
    </dgm:pt>
    <dgm:pt modelId="{63DA9FBE-5E11-4EC8-B500-D380A5043B3E}" type="pres">
      <dgm:prSet presAssocID="{91F2D88E-974E-46D3-B998-544DF69D109E}" presName="root2" presStyleCnt="0"/>
      <dgm:spPr/>
    </dgm:pt>
    <dgm:pt modelId="{EA1DD345-2154-4455-B71C-8589A9B798B8}" type="pres">
      <dgm:prSet presAssocID="{91F2D88E-974E-46D3-B998-544DF69D109E}" presName="LevelTwoTextNode" presStyleLbl="node4" presStyleIdx="2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0B3EA42-C1E1-498E-8895-47154025FA4D}" type="pres">
      <dgm:prSet presAssocID="{91F2D88E-974E-46D3-B998-544DF69D109E}" presName="level3hierChild" presStyleCnt="0"/>
      <dgm:spPr/>
    </dgm:pt>
    <dgm:pt modelId="{FF1F79DF-8838-48C5-8284-92FE91C569CA}" type="pres">
      <dgm:prSet presAssocID="{E27C73FD-43F6-4844-B787-0011E2EB6A45}" presName="conn2-1" presStyleLbl="parChTrans1D4" presStyleIdx="3" presStyleCnt="19"/>
      <dgm:spPr/>
      <dgm:t>
        <a:bodyPr/>
        <a:lstStyle/>
        <a:p>
          <a:endParaRPr lang="en-US"/>
        </a:p>
      </dgm:t>
    </dgm:pt>
    <dgm:pt modelId="{B3D66F1C-6B83-4153-B6A9-953CB098E3A7}" type="pres">
      <dgm:prSet presAssocID="{E27C73FD-43F6-4844-B787-0011E2EB6A45}" presName="connTx" presStyleLbl="parChTrans1D4" presStyleIdx="3" presStyleCnt="19"/>
      <dgm:spPr/>
      <dgm:t>
        <a:bodyPr/>
        <a:lstStyle/>
        <a:p>
          <a:endParaRPr lang="en-US"/>
        </a:p>
      </dgm:t>
    </dgm:pt>
    <dgm:pt modelId="{E9A1A6E9-F1A4-4997-A10E-2D3042DB30A8}" type="pres">
      <dgm:prSet presAssocID="{0A88B9B1-8840-4F9A-AD79-25CA7CFB6BFA}" presName="root2" presStyleCnt="0"/>
      <dgm:spPr/>
    </dgm:pt>
    <dgm:pt modelId="{8F1434EE-ECEB-4AB6-A5CB-B823A72EC71F}" type="pres">
      <dgm:prSet presAssocID="{0A88B9B1-8840-4F9A-AD79-25CA7CFB6BFA}" presName="LevelTwoTextNode" presStyleLbl="node4" presStyleIdx="3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FB297D7-005A-4C67-93C3-F7517F72ED93}" type="pres">
      <dgm:prSet presAssocID="{0A88B9B1-8840-4F9A-AD79-25CA7CFB6BFA}" presName="level3hierChild" presStyleCnt="0"/>
      <dgm:spPr/>
    </dgm:pt>
    <dgm:pt modelId="{BDCF1001-503C-4A12-9480-65B2B61EC0E5}" type="pres">
      <dgm:prSet presAssocID="{80CAEC47-4D41-4E72-8B22-4E40EE098994}" presName="conn2-1" presStyleLbl="parChTrans1D4" presStyleIdx="4" presStyleCnt="19"/>
      <dgm:spPr/>
      <dgm:t>
        <a:bodyPr/>
        <a:lstStyle/>
        <a:p>
          <a:endParaRPr lang="en-US"/>
        </a:p>
      </dgm:t>
    </dgm:pt>
    <dgm:pt modelId="{4BF0104B-2CF6-4FDD-819B-CC420B37C6C0}" type="pres">
      <dgm:prSet presAssocID="{80CAEC47-4D41-4E72-8B22-4E40EE098994}" presName="connTx" presStyleLbl="parChTrans1D4" presStyleIdx="4" presStyleCnt="19"/>
      <dgm:spPr/>
      <dgm:t>
        <a:bodyPr/>
        <a:lstStyle/>
        <a:p>
          <a:endParaRPr lang="en-US"/>
        </a:p>
      </dgm:t>
    </dgm:pt>
    <dgm:pt modelId="{366F4709-764F-4BBB-BC2B-7FACDF33A036}" type="pres">
      <dgm:prSet presAssocID="{05859CB5-F0B3-49D6-BC7D-D4558C5EBB27}" presName="root2" presStyleCnt="0"/>
      <dgm:spPr/>
    </dgm:pt>
    <dgm:pt modelId="{693D7B28-56BA-4A57-A292-6D1C38711570}" type="pres">
      <dgm:prSet presAssocID="{05859CB5-F0B3-49D6-BC7D-D4558C5EBB27}" presName="LevelTwoTextNode" presStyleLbl="node4" presStyleIdx="4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89E2C3F2-C362-4D2B-9D53-42C24A8D6286}" type="pres">
      <dgm:prSet presAssocID="{05859CB5-F0B3-49D6-BC7D-D4558C5EBB27}" presName="level3hierChild" presStyleCnt="0"/>
      <dgm:spPr/>
    </dgm:pt>
    <dgm:pt modelId="{D86F9420-7DC9-4AFC-A97B-EA211622C5E7}" type="pres">
      <dgm:prSet presAssocID="{154C6A6A-0C07-479D-BF35-5A5069D0CA0C}" presName="conn2-1" presStyleLbl="parChTrans1D4" presStyleIdx="5" presStyleCnt="19"/>
      <dgm:spPr/>
      <dgm:t>
        <a:bodyPr/>
        <a:lstStyle/>
        <a:p>
          <a:endParaRPr lang="en-US"/>
        </a:p>
      </dgm:t>
    </dgm:pt>
    <dgm:pt modelId="{29915848-1C03-4C82-B00C-70CFDD86F225}" type="pres">
      <dgm:prSet presAssocID="{154C6A6A-0C07-479D-BF35-5A5069D0CA0C}" presName="connTx" presStyleLbl="parChTrans1D4" presStyleIdx="5" presStyleCnt="19"/>
      <dgm:spPr/>
      <dgm:t>
        <a:bodyPr/>
        <a:lstStyle/>
        <a:p>
          <a:endParaRPr lang="en-US"/>
        </a:p>
      </dgm:t>
    </dgm:pt>
    <dgm:pt modelId="{11C298C0-DCBA-456A-8FFD-5B45E3FE1AD3}" type="pres">
      <dgm:prSet presAssocID="{6886FA2F-99CE-48C6-A7F2-377F31453F25}" presName="root2" presStyleCnt="0"/>
      <dgm:spPr/>
    </dgm:pt>
    <dgm:pt modelId="{0F613EA8-A02E-4F7F-BBD0-C52132ED4386}" type="pres">
      <dgm:prSet presAssocID="{6886FA2F-99CE-48C6-A7F2-377F31453F25}" presName="LevelTwoTextNode" presStyleLbl="node4" presStyleIdx="5" presStyleCnt="19" custLinFactX="100000" custLinFactY="-3376" custLinFactNeighborX="127427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693DB9B-47EF-4A99-9139-F7525B6A1538}" type="pres">
      <dgm:prSet presAssocID="{6886FA2F-99CE-48C6-A7F2-377F31453F25}" presName="level3hierChild" presStyleCnt="0"/>
      <dgm:spPr/>
    </dgm:pt>
    <dgm:pt modelId="{E0B5EDE8-D6B1-43F7-B96E-AB58F63E0F63}" type="pres">
      <dgm:prSet presAssocID="{8DEE9EFD-C6C6-460A-9C6C-12D078860E8F}" presName="conn2-1" presStyleLbl="parChTrans1D3" presStyleIdx="5" presStyleCnt="14"/>
      <dgm:spPr/>
      <dgm:t>
        <a:bodyPr/>
        <a:lstStyle/>
        <a:p>
          <a:endParaRPr lang="en-US"/>
        </a:p>
      </dgm:t>
    </dgm:pt>
    <dgm:pt modelId="{12E563E2-6EF2-4BF2-AC8B-8C7007A15070}" type="pres">
      <dgm:prSet presAssocID="{8DEE9EFD-C6C6-460A-9C6C-12D078860E8F}" presName="connTx" presStyleLbl="parChTrans1D3" presStyleIdx="5" presStyleCnt="14"/>
      <dgm:spPr/>
      <dgm:t>
        <a:bodyPr/>
        <a:lstStyle/>
        <a:p>
          <a:endParaRPr lang="en-US"/>
        </a:p>
      </dgm:t>
    </dgm:pt>
    <dgm:pt modelId="{EDD80FB6-F9D8-4570-8F78-A313EE5A7196}" type="pres">
      <dgm:prSet presAssocID="{9724AEFC-93E8-4DE5-9067-AB7C7DD1C8A1}" presName="root2" presStyleCnt="0"/>
      <dgm:spPr/>
    </dgm:pt>
    <dgm:pt modelId="{44FBA2CD-E84F-4527-8E68-7EE89F81703E}" type="pres">
      <dgm:prSet presAssocID="{9724AEFC-93E8-4DE5-9067-AB7C7DD1C8A1}" presName="LevelTwoTextNode" presStyleLbl="node3" presStyleIdx="5" presStyleCnt="14" custLinFactY="-24051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8379B47-8081-4F5B-BA3F-02196C223B0A}" type="pres">
      <dgm:prSet presAssocID="{9724AEFC-93E8-4DE5-9067-AB7C7DD1C8A1}" presName="level3hierChild" presStyleCnt="0"/>
      <dgm:spPr/>
    </dgm:pt>
    <dgm:pt modelId="{69866E97-9649-4131-B0B3-F7CA9B612189}" type="pres">
      <dgm:prSet presAssocID="{514DFECE-18FC-404D-AEBA-31A30533BCBA}" presName="conn2-1" presStyleLbl="parChTrans1D4" presStyleIdx="6" presStyleCnt="19"/>
      <dgm:spPr/>
      <dgm:t>
        <a:bodyPr/>
        <a:lstStyle/>
        <a:p>
          <a:endParaRPr lang="en-US"/>
        </a:p>
      </dgm:t>
    </dgm:pt>
    <dgm:pt modelId="{F048A8B3-1177-4F64-96CC-F2C86454262D}" type="pres">
      <dgm:prSet presAssocID="{514DFECE-18FC-404D-AEBA-31A30533BCBA}" presName="connTx" presStyleLbl="parChTrans1D4" presStyleIdx="6" presStyleCnt="19"/>
      <dgm:spPr/>
      <dgm:t>
        <a:bodyPr/>
        <a:lstStyle/>
        <a:p>
          <a:endParaRPr lang="en-US"/>
        </a:p>
      </dgm:t>
    </dgm:pt>
    <dgm:pt modelId="{58D68F11-F398-45D0-96DA-DE4E77FB97A1}" type="pres">
      <dgm:prSet presAssocID="{815B14E8-7409-4D0D-8EAA-14ADF7D71324}" presName="root2" presStyleCnt="0"/>
      <dgm:spPr/>
    </dgm:pt>
    <dgm:pt modelId="{065C7D7E-00EB-4936-8BFB-8AA15EA0A361}" type="pres">
      <dgm:prSet presAssocID="{815B14E8-7409-4D0D-8EAA-14ADF7D71324}" presName="LevelTwoTextNode" presStyleLbl="node4" presStyleIdx="6" presStyleCnt="19" custLinFactX="200000" custLinFactY="-3376" custLinFactNeighborX="236764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EE8F1D18-A167-49E5-901E-735D6AFB7BFD}" type="pres">
      <dgm:prSet presAssocID="{815B14E8-7409-4D0D-8EAA-14ADF7D71324}" presName="level3hierChild" presStyleCnt="0"/>
      <dgm:spPr/>
    </dgm:pt>
    <dgm:pt modelId="{36FBAA05-0FD8-4987-B9BD-1945C89AAAB6}" type="pres">
      <dgm:prSet presAssocID="{006C277B-FD22-4134-8B23-8A7CE5CDEF09}" presName="conn2-1" presStyleLbl="parChTrans1D4" presStyleIdx="7" presStyleCnt="19"/>
      <dgm:spPr/>
      <dgm:t>
        <a:bodyPr/>
        <a:lstStyle/>
        <a:p>
          <a:endParaRPr lang="en-US"/>
        </a:p>
      </dgm:t>
    </dgm:pt>
    <dgm:pt modelId="{4E6F30C4-587D-4D18-BC5B-602FD8F3D214}" type="pres">
      <dgm:prSet presAssocID="{006C277B-FD22-4134-8B23-8A7CE5CDEF09}" presName="connTx" presStyleLbl="parChTrans1D4" presStyleIdx="7" presStyleCnt="19"/>
      <dgm:spPr/>
      <dgm:t>
        <a:bodyPr/>
        <a:lstStyle/>
        <a:p>
          <a:endParaRPr lang="en-US"/>
        </a:p>
      </dgm:t>
    </dgm:pt>
    <dgm:pt modelId="{5D039F13-AA96-4999-9ECA-A19AA3788602}" type="pres">
      <dgm:prSet presAssocID="{C8443D54-2B07-4C58-BFD4-F22684F27CD9}" presName="root2" presStyleCnt="0"/>
      <dgm:spPr/>
    </dgm:pt>
    <dgm:pt modelId="{BA8C6BD1-3641-43C5-A644-EFC300F93DC6}" type="pres">
      <dgm:prSet presAssocID="{C8443D54-2B07-4C58-BFD4-F22684F27CD9}" presName="LevelTwoTextNode" presStyleLbl="node4" presStyleIdx="7" presStyleCnt="19" custLinFactX="200000" custLinFactY="-3376" custLinFactNeighborX="236764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E41E8F9-56CE-4EB2-A24D-40992B0D1065}" type="pres">
      <dgm:prSet presAssocID="{C8443D54-2B07-4C58-BFD4-F22684F27CD9}" presName="level3hierChild" presStyleCnt="0"/>
      <dgm:spPr/>
    </dgm:pt>
    <dgm:pt modelId="{7F79701F-6ADF-4C10-8003-AA9B7DC17060}" type="pres">
      <dgm:prSet presAssocID="{74A63C97-04CB-4849-94F8-12A465E0EB0F}" presName="conn2-1" presStyleLbl="parChTrans1D4" presStyleIdx="8" presStyleCnt="19"/>
      <dgm:spPr/>
      <dgm:t>
        <a:bodyPr/>
        <a:lstStyle/>
        <a:p>
          <a:endParaRPr lang="en-US"/>
        </a:p>
      </dgm:t>
    </dgm:pt>
    <dgm:pt modelId="{27E28E2C-1EEA-4C9D-9B3F-519D7653BCE9}" type="pres">
      <dgm:prSet presAssocID="{74A63C97-04CB-4849-94F8-12A465E0EB0F}" presName="connTx" presStyleLbl="parChTrans1D4" presStyleIdx="8" presStyleCnt="19"/>
      <dgm:spPr/>
      <dgm:t>
        <a:bodyPr/>
        <a:lstStyle/>
        <a:p>
          <a:endParaRPr lang="en-US"/>
        </a:p>
      </dgm:t>
    </dgm:pt>
    <dgm:pt modelId="{BC7710C1-EDC4-4A18-9591-52EA06A4C848}" type="pres">
      <dgm:prSet presAssocID="{7971183B-9A71-4D38-8670-F58F1BFBD806}" presName="root2" presStyleCnt="0"/>
      <dgm:spPr/>
    </dgm:pt>
    <dgm:pt modelId="{17ABE5F7-5FE3-4302-8EDE-F80DBEB64D41}" type="pres">
      <dgm:prSet presAssocID="{7971183B-9A71-4D38-8670-F58F1BFBD806}" presName="LevelTwoTextNode" presStyleLbl="node4" presStyleIdx="8" presStyleCnt="19" custLinFactX="200000" custLinFactY="-3376" custLinFactNeighborX="236764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2D246BAA-0849-4B71-8B40-1006D64F9D5C}" type="pres">
      <dgm:prSet presAssocID="{7971183B-9A71-4D38-8670-F58F1BFBD806}" presName="level3hierChild" presStyleCnt="0"/>
      <dgm:spPr/>
    </dgm:pt>
    <dgm:pt modelId="{D47553C5-0DF5-4701-B101-392E09E6FF4E}" type="pres">
      <dgm:prSet presAssocID="{E875D070-2FF4-4B9D-8604-18C03631C85F}" presName="conn2-1" presStyleLbl="parChTrans1D2" presStyleIdx="1" presStyleCnt="3"/>
      <dgm:spPr/>
      <dgm:t>
        <a:bodyPr/>
        <a:lstStyle/>
        <a:p>
          <a:endParaRPr lang="en-US"/>
        </a:p>
      </dgm:t>
    </dgm:pt>
    <dgm:pt modelId="{4DEE9E45-1E47-41C3-95AA-B6E056E5446E}" type="pres">
      <dgm:prSet presAssocID="{E875D070-2FF4-4B9D-8604-18C03631C85F}" presName="connTx" presStyleLbl="parChTrans1D2" presStyleIdx="1" presStyleCnt="3"/>
      <dgm:spPr/>
      <dgm:t>
        <a:bodyPr/>
        <a:lstStyle/>
        <a:p>
          <a:endParaRPr lang="en-US"/>
        </a:p>
      </dgm:t>
    </dgm:pt>
    <dgm:pt modelId="{59ADC2BD-1109-4AD3-992B-1CE7F47715AA}" type="pres">
      <dgm:prSet presAssocID="{761CC5BC-AAB4-44E9-85E4-6BB8889AD49B}" presName="root2" presStyleCnt="0"/>
      <dgm:spPr/>
    </dgm:pt>
    <dgm:pt modelId="{331ADF1E-BBA5-486B-9F9D-2CD4170DB57A}" type="pres">
      <dgm:prSet presAssocID="{761CC5BC-AAB4-44E9-85E4-6BB8889AD49B}" presName="LevelTwoTextNode" presStyleLbl="node2" presStyleIdx="1" presStyleCnt="3" custLinFactX="-380489" custLinFactY="-385658" custLinFactNeighborX="-400000" custLinFactNeighborY="-4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5575A7F0-271E-4A16-8461-9F9CE3DCCC25}" type="pres">
      <dgm:prSet presAssocID="{761CC5BC-AAB4-44E9-85E4-6BB8889AD49B}" presName="level3hierChild" presStyleCnt="0"/>
      <dgm:spPr/>
    </dgm:pt>
    <dgm:pt modelId="{D0B90E32-13A1-47C3-A1D7-08420968502F}" type="pres">
      <dgm:prSet presAssocID="{C5D54C43-5190-43C0-9696-7980C54CFE3A}" presName="conn2-1" presStyleLbl="parChTrans1D3" presStyleIdx="6" presStyleCnt="14"/>
      <dgm:spPr/>
      <dgm:t>
        <a:bodyPr/>
        <a:lstStyle/>
        <a:p>
          <a:endParaRPr lang="en-US"/>
        </a:p>
      </dgm:t>
    </dgm:pt>
    <dgm:pt modelId="{1A1A6F0C-3CA6-48AC-8E7C-C774121A20E8}" type="pres">
      <dgm:prSet presAssocID="{C5D54C43-5190-43C0-9696-7980C54CFE3A}" presName="connTx" presStyleLbl="parChTrans1D3" presStyleIdx="6" presStyleCnt="14"/>
      <dgm:spPr/>
      <dgm:t>
        <a:bodyPr/>
        <a:lstStyle/>
        <a:p>
          <a:endParaRPr lang="en-US"/>
        </a:p>
      </dgm:t>
    </dgm:pt>
    <dgm:pt modelId="{96B1BD4A-A22A-41F7-A234-D3A11B5112C8}" type="pres">
      <dgm:prSet presAssocID="{71348313-5427-4749-BFAE-F292B4D9A505}" presName="root2" presStyleCnt="0"/>
      <dgm:spPr/>
    </dgm:pt>
    <dgm:pt modelId="{3AEC872E-CF57-4CBA-B67B-3A7C3ED9C03E}" type="pres">
      <dgm:prSet presAssocID="{71348313-5427-4749-BFAE-F292B4D9A505}" presName="LevelTwoTextNode" presStyleLbl="node3" presStyleIdx="6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D7967931-D043-4088-AB32-4FA28E20298A}" type="pres">
      <dgm:prSet presAssocID="{71348313-5427-4749-BFAE-F292B4D9A505}" presName="level3hierChild" presStyleCnt="0"/>
      <dgm:spPr/>
    </dgm:pt>
    <dgm:pt modelId="{E3731F81-E408-4E1C-A482-BF817C07B0D5}" type="pres">
      <dgm:prSet presAssocID="{68293CCD-4B21-4476-BC6D-11F9909B47DD}" presName="conn2-1" presStyleLbl="parChTrans1D4" presStyleIdx="9" presStyleCnt="19"/>
      <dgm:spPr/>
      <dgm:t>
        <a:bodyPr/>
        <a:lstStyle/>
        <a:p>
          <a:endParaRPr lang="en-US"/>
        </a:p>
      </dgm:t>
    </dgm:pt>
    <dgm:pt modelId="{9E2D68B8-1ADD-43A2-AC26-E866773F224B}" type="pres">
      <dgm:prSet presAssocID="{68293CCD-4B21-4476-BC6D-11F9909B47DD}" presName="connTx" presStyleLbl="parChTrans1D4" presStyleIdx="9" presStyleCnt="19"/>
      <dgm:spPr/>
      <dgm:t>
        <a:bodyPr/>
        <a:lstStyle/>
        <a:p>
          <a:endParaRPr lang="en-US"/>
        </a:p>
      </dgm:t>
    </dgm:pt>
    <dgm:pt modelId="{FE8AB261-A56A-4970-BE5F-0049F40EB1F0}" type="pres">
      <dgm:prSet presAssocID="{9F18CCEE-ABC3-4F40-BA35-D528B6C3EBF9}" presName="root2" presStyleCnt="0"/>
      <dgm:spPr/>
    </dgm:pt>
    <dgm:pt modelId="{2D07A2AA-14E9-4499-A440-CFC618239BF5}" type="pres">
      <dgm:prSet presAssocID="{9F18CCEE-ABC3-4F40-BA35-D528B6C3EBF9}" presName="LevelTwoTextNode" presStyleLbl="node4" presStyleIdx="9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B8F195FF-C0BF-4320-AA9B-69D4885EAC8B}" type="pres">
      <dgm:prSet presAssocID="{9F18CCEE-ABC3-4F40-BA35-D528B6C3EBF9}" presName="level3hierChild" presStyleCnt="0"/>
      <dgm:spPr/>
    </dgm:pt>
    <dgm:pt modelId="{38F18FE5-8216-48E8-BFB0-86593B0D4ADA}" type="pres">
      <dgm:prSet presAssocID="{D8987359-6F8E-4A42-810C-0A946A6180D8}" presName="conn2-1" presStyleLbl="parChTrans1D4" presStyleIdx="10" presStyleCnt="19"/>
      <dgm:spPr/>
      <dgm:t>
        <a:bodyPr/>
        <a:lstStyle/>
        <a:p>
          <a:endParaRPr lang="en-US"/>
        </a:p>
      </dgm:t>
    </dgm:pt>
    <dgm:pt modelId="{524239BC-2958-40D4-8853-671607DACE8B}" type="pres">
      <dgm:prSet presAssocID="{D8987359-6F8E-4A42-810C-0A946A6180D8}" presName="connTx" presStyleLbl="parChTrans1D4" presStyleIdx="10" presStyleCnt="19"/>
      <dgm:spPr/>
      <dgm:t>
        <a:bodyPr/>
        <a:lstStyle/>
        <a:p>
          <a:endParaRPr lang="en-US"/>
        </a:p>
      </dgm:t>
    </dgm:pt>
    <dgm:pt modelId="{184BFA84-2533-4B03-B7EE-5DACEECC3201}" type="pres">
      <dgm:prSet presAssocID="{DA076C16-F3E8-4D9A-A23B-09C15A249C29}" presName="root2" presStyleCnt="0"/>
      <dgm:spPr/>
    </dgm:pt>
    <dgm:pt modelId="{C5128C26-D238-45EC-8009-95D670FD4359}" type="pres">
      <dgm:prSet presAssocID="{DA076C16-F3E8-4D9A-A23B-09C15A249C29}" presName="LevelTwoTextNode" presStyleLbl="node4" presStyleIdx="10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B138708-4FF2-4340-8121-927052629401}" type="pres">
      <dgm:prSet presAssocID="{DA076C16-F3E8-4D9A-A23B-09C15A249C29}" presName="level3hierChild" presStyleCnt="0"/>
      <dgm:spPr/>
    </dgm:pt>
    <dgm:pt modelId="{8FE83A1E-3DC4-41C0-9B71-2126AE2B7C0B}" type="pres">
      <dgm:prSet presAssocID="{19877201-5620-4D09-8F08-FAE4BFB26E58}" presName="conn2-1" presStyleLbl="parChTrans1D4" presStyleIdx="11" presStyleCnt="19"/>
      <dgm:spPr/>
      <dgm:t>
        <a:bodyPr/>
        <a:lstStyle/>
        <a:p>
          <a:endParaRPr lang="en-US"/>
        </a:p>
      </dgm:t>
    </dgm:pt>
    <dgm:pt modelId="{B706D8D7-5AB3-4B22-9B01-3CE937E9FB0F}" type="pres">
      <dgm:prSet presAssocID="{19877201-5620-4D09-8F08-FAE4BFB26E58}" presName="connTx" presStyleLbl="parChTrans1D4" presStyleIdx="11" presStyleCnt="19"/>
      <dgm:spPr/>
      <dgm:t>
        <a:bodyPr/>
        <a:lstStyle/>
        <a:p>
          <a:endParaRPr lang="en-US"/>
        </a:p>
      </dgm:t>
    </dgm:pt>
    <dgm:pt modelId="{DD7D7614-37E7-46AE-A131-3E0B741197C5}" type="pres">
      <dgm:prSet presAssocID="{FACA4EEE-B782-43AB-B045-0D53A69EA0FE}" presName="root2" presStyleCnt="0"/>
      <dgm:spPr/>
    </dgm:pt>
    <dgm:pt modelId="{6EBBE531-A816-4AD4-A19E-BFFFDA1B5EB8}" type="pres">
      <dgm:prSet presAssocID="{FACA4EEE-B782-43AB-B045-0D53A69EA0FE}" presName="LevelTwoTextNode" presStyleLbl="node4" presStyleIdx="11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FEEB9A18-041E-4F4B-A03C-2131E5FFAD94}" type="pres">
      <dgm:prSet presAssocID="{FACA4EEE-B782-43AB-B045-0D53A69EA0FE}" presName="level3hierChild" presStyleCnt="0"/>
      <dgm:spPr/>
    </dgm:pt>
    <dgm:pt modelId="{AD8CB1DB-0DAD-403B-ADFB-2A460183A645}" type="pres">
      <dgm:prSet presAssocID="{FE4E9C97-E62D-44C7-B309-F774C334F84E}" presName="conn2-1" presStyleLbl="parChTrans1D4" presStyleIdx="12" presStyleCnt="19"/>
      <dgm:spPr/>
      <dgm:t>
        <a:bodyPr/>
        <a:lstStyle/>
        <a:p>
          <a:endParaRPr lang="en-US"/>
        </a:p>
      </dgm:t>
    </dgm:pt>
    <dgm:pt modelId="{E38D3CC2-238F-42DE-A321-3E5E78589648}" type="pres">
      <dgm:prSet presAssocID="{FE4E9C97-E62D-44C7-B309-F774C334F84E}" presName="connTx" presStyleLbl="parChTrans1D4" presStyleIdx="12" presStyleCnt="19"/>
      <dgm:spPr/>
      <dgm:t>
        <a:bodyPr/>
        <a:lstStyle/>
        <a:p>
          <a:endParaRPr lang="en-US"/>
        </a:p>
      </dgm:t>
    </dgm:pt>
    <dgm:pt modelId="{49AC1731-C89B-461A-88E6-235C2348499C}" type="pres">
      <dgm:prSet presAssocID="{CFBC149F-06A3-446E-A61F-918C8120BD3B}" presName="root2" presStyleCnt="0"/>
      <dgm:spPr/>
    </dgm:pt>
    <dgm:pt modelId="{75FC3538-6F78-4B4F-BA89-CA492A03BF2D}" type="pres">
      <dgm:prSet presAssocID="{CFBC149F-06A3-446E-A61F-918C8120BD3B}" presName="LevelTwoTextNode" presStyleLbl="node4" presStyleIdx="12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4903144B-794B-4ACE-90B8-4D7C627E7533}" type="pres">
      <dgm:prSet presAssocID="{CFBC149F-06A3-446E-A61F-918C8120BD3B}" presName="level3hierChild" presStyleCnt="0"/>
      <dgm:spPr/>
    </dgm:pt>
    <dgm:pt modelId="{77B69AC8-DAAA-4156-B513-A0FB0A0576B9}" type="pres">
      <dgm:prSet presAssocID="{A0B7BD2C-5A98-43EE-9F47-8CB94EE2DD60}" presName="conn2-1" presStyleLbl="parChTrans1D4" presStyleIdx="13" presStyleCnt="19"/>
      <dgm:spPr/>
      <dgm:t>
        <a:bodyPr/>
        <a:lstStyle/>
        <a:p>
          <a:endParaRPr lang="en-US"/>
        </a:p>
      </dgm:t>
    </dgm:pt>
    <dgm:pt modelId="{9ECC5AC2-DEF4-4C40-AB96-A313F4A6C876}" type="pres">
      <dgm:prSet presAssocID="{A0B7BD2C-5A98-43EE-9F47-8CB94EE2DD60}" presName="connTx" presStyleLbl="parChTrans1D4" presStyleIdx="13" presStyleCnt="19"/>
      <dgm:spPr/>
      <dgm:t>
        <a:bodyPr/>
        <a:lstStyle/>
        <a:p>
          <a:endParaRPr lang="en-US"/>
        </a:p>
      </dgm:t>
    </dgm:pt>
    <dgm:pt modelId="{86EF8F0D-C78E-4A35-8CBE-F93D4F797BFF}" type="pres">
      <dgm:prSet presAssocID="{0A14ADF9-8240-4EB3-85DD-C2A283146E20}" presName="root2" presStyleCnt="0"/>
      <dgm:spPr/>
    </dgm:pt>
    <dgm:pt modelId="{B1C1A132-5612-4CEA-A1DE-06B75311157A}" type="pres">
      <dgm:prSet presAssocID="{0A14ADF9-8240-4EB3-85DD-C2A283146E20}" presName="LevelTwoTextNode" presStyleLbl="node4" presStyleIdx="13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09F2BC8-1D40-4A23-910A-9FAAF09C7B0E}" type="pres">
      <dgm:prSet presAssocID="{0A14ADF9-8240-4EB3-85DD-C2A283146E20}" presName="level3hierChild" presStyleCnt="0"/>
      <dgm:spPr/>
    </dgm:pt>
    <dgm:pt modelId="{0E16C11A-5CA9-4F6F-AE05-7011CAB18C37}" type="pres">
      <dgm:prSet presAssocID="{A29A2ED0-1151-468A-9105-7CC0D1EF2704}" presName="conn2-1" presStyleLbl="parChTrans1D4" presStyleIdx="14" presStyleCnt="19"/>
      <dgm:spPr/>
      <dgm:t>
        <a:bodyPr/>
        <a:lstStyle/>
        <a:p>
          <a:endParaRPr lang="en-US"/>
        </a:p>
      </dgm:t>
    </dgm:pt>
    <dgm:pt modelId="{2AECA317-6EB7-4C3B-958C-AA586F86DF26}" type="pres">
      <dgm:prSet presAssocID="{A29A2ED0-1151-468A-9105-7CC0D1EF2704}" presName="connTx" presStyleLbl="parChTrans1D4" presStyleIdx="14" presStyleCnt="19"/>
      <dgm:spPr/>
      <dgm:t>
        <a:bodyPr/>
        <a:lstStyle/>
        <a:p>
          <a:endParaRPr lang="en-US"/>
        </a:p>
      </dgm:t>
    </dgm:pt>
    <dgm:pt modelId="{915B7F87-9FF8-4FE4-837A-B908EFA815E7}" type="pres">
      <dgm:prSet presAssocID="{5C5754F0-C16F-4D6C-8769-31757C1B8575}" presName="root2" presStyleCnt="0"/>
      <dgm:spPr/>
    </dgm:pt>
    <dgm:pt modelId="{EFF336B8-3290-43F7-8655-F7279E31B683}" type="pres">
      <dgm:prSet presAssocID="{5C5754F0-C16F-4D6C-8769-31757C1B8575}" presName="LevelTwoTextNode" presStyleLbl="node4" presStyleIdx="14" presStyleCnt="19" custLinFactNeighborX="77531" custLinFactNeighborY="-8786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8694C9D-7EC5-4B66-9A4C-7015B2F09B53}" type="pres">
      <dgm:prSet presAssocID="{5C5754F0-C16F-4D6C-8769-31757C1B8575}" presName="level3hierChild" presStyleCnt="0"/>
      <dgm:spPr/>
    </dgm:pt>
    <dgm:pt modelId="{4EA03074-18F4-4347-B4DB-0164CA9DF94D}" type="pres">
      <dgm:prSet presAssocID="{98BBC753-BACC-4CFD-A556-B3B7028EDE4D}" presName="conn2-1" presStyleLbl="parChTrans1D3" presStyleIdx="7" presStyleCnt="14"/>
      <dgm:spPr/>
      <dgm:t>
        <a:bodyPr/>
        <a:lstStyle/>
        <a:p>
          <a:endParaRPr lang="en-US"/>
        </a:p>
      </dgm:t>
    </dgm:pt>
    <dgm:pt modelId="{EF2B67FB-BA2C-4F10-B355-C36818BEA72F}" type="pres">
      <dgm:prSet presAssocID="{98BBC753-BACC-4CFD-A556-B3B7028EDE4D}" presName="connTx" presStyleLbl="parChTrans1D3" presStyleIdx="7" presStyleCnt="14"/>
      <dgm:spPr/>
      <dgm:t>
        <a:bodyPr/>
        <a:lstStyle/>
        <a:p>
          <a:endParaRPr lang="en-US"/>
        </a:p>
      </dgm:t>
    </dgm:pt>
    <dgm:pt modelId="{C9268DBD-30AF-4518-98A1-779F497FDD9C}" type="pres">
      <dgm:prSet presAssocID="{8C79794B-A7E7-4B53-8C78-5B76E10B5172}" presName="root2" presStyleCnt="0"/>
      <dgm:spPr/>
    </dgm:pt>
    <dgm:pt modelId="{D36F0518-F3FF-4FD0-AE57-092CAC3DBDBF}" type="pres">
      <dgm:prSet presAssocID="{8C79794B-A7E7-4B53-8C78-5B76E10B5172}" presName="LevelTwoTextNode" presStyleLbl="node3" presStyleIdx="7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92C513FC-4433-4DD4-BC3D-FEE53DC579B9}" type="pres">
      <dgm:prSet presAssocID="{8C79794B-A7E7-4B53-8C78-5B76E10B5172}" presName="level3hierChild" presStyleCnt="0"/>
      <dgm:spPr/>
    </dgm:pt>
    <dgm:pt modelId="{3AFA85F1-AF44-4DF4-8F03-F2F851D33419}" type="pres">
      <dgm:prSet presAssocID="{D925D0E8-8CDE-481B-8AE6-85A0853D9EF1}" presName="conn2-1" presStyleLbl="parChTrans1D3" presStyleIdx="8" presStyleCnt="14"/>
      <dgm:spPr/>
      <dgm:t>
        <a:bodyPr/>
        <a:lstStyle/>
        <a:p>
          <a:endParaRPr lang="en-US"/>
        </a:p>
      </dgm:t>
    </dgm:pt>
    <dgm:pt modelId="{DD26DBD1-8CA1-41A6-B7A3-937E7847E4BD}" type="pres">
      <dgm:prSet presAssocID="{D925D0E8-8CDE-481B-8AE6-85A0853D9EF1}" presName="connTx" presStyleLbl="parChTrans1D3" presStyleIdx="8" presStyleCnt="14"/>
      <dgm:spPr/>
      <dgm:t>
        <a:bodyPr/>
        <a:lstStyle/>
        <a:p>
          <a:endParaRPr lang="en-US"/>
        </a:p>
      </dgm:t>
    </dgm:pt>
    <dgm:pt modelId="{2FA46AEB-CBA3-4A03-B091-A1138DE78694}" type="pres">
      <dgm:prSet presAssocID="{AE1D277E-0D81-44F7-8D85-667675EBEF11}" presName="root2" presStyleCnt="0"/>
      <dgm:spPr/>
    </dgm:pt>
    <dgm:pt modelId="{EBC341C4-B152-4FDC-90DC-DEB9D5232F1C}" type="pres">
      <dgm:prSet presAssocID="{AE1D277E-0D81-44F7-8D85-667675EBEF11}" presName="LevelTwoTextNode" presStyleLbl="node3" presStyleIdx="8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1249CDE8-72ED-4BB7-9716-5E7DC5D41700}" type="pres">
      <dgm:prSet presAssocID="{AE1D277E-0D81-44F7-8D85-667675EBEF11}" presName="level3hierChild" presStyleCnt="0"/>
      <dgm:spPr/>
    </dgm:pt>
    <dgm:pt modelId="{C048995E-34E3-4318-BE4B-9E3F01C62F2D}" type="pres">
      <dgm:prSet presAssocID="{6812DF29-D484-4824-AE89-2B3092C5D790}" presName="conn2-1" presStyleLbl="parChTrans1D4" presStyleIdx="15" presStyleCnt="19"/>
      <dgm:spPr/>
      <dgm:t>
        <a:bodyPr/>
        <a:lstStyle/>
        <a:p>
          <a:endParaRPr lang="en-US"/>
        </a:p>
      </dgm:t>
    </dgm:pt>
    <dgm:pt modelId="{7A918996-9259-4663-A6CC-89F1B66D5384}" type="pres">
      <dgm:prSet presAssocID="{6812DF29-D484-4824-AE89-2B3092C5D790}" presName="connTx" presStyleLbl="parChTrans1D4" presStyleIdx="15" presStyleCnt="19"/>
      <dgm:spPr/>
      <dgm:t>
        <a:bodyPr/>
        <a:lstStyle/>
        <a:p>
          <a:endParaRPr lang="en-US"/>
        </a:p>
      </dgm:t>
    </dgm:pt>
    <dgm:pt modelId="{4F6208BC-3385-474B-B8DA-E765F60862C7}" type="pres">
      <dgm:prSet presAssocID="{773FC346-12AC-43D3-85E6-2620846609A2}" presName="root2" presStyleCnt="0"/>
      <dgm:spPr/>
    </dgm:pt>
    <dgm:pt modelId="{46E99B83-74EF-41D3-A034-E05E1A53C2F6}" type="pres">
      <dgm:prSet presAssocID="{773FC346-12AC-43D3-85E6-2620846609A2}" presName="LevelTwoTextNode" presStyleLbl="node4" presStyleIdx="15" presStyleCnt="19" custLinFactX="100000" custLinFactNeighborX="155855" custLinFactNeighborY="-4651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20ADD4A-3E52-47BE-803E-176EA38B5B7A}" type="pres">
      <dgm:prSet presAssocID="{773FC346-12AC-43D3-85E6-2620846609A2}" presName="level3hierChild" presStyleCnt="0"/>
      <dgm:spPr/>
    </dgm:pt>
    <dgm:pt modelId="{EB3C08BD-8FFA-487E-AE30-C2541926896C}" type="pres">
      <dgm:prSet presAssocID="{15CB56BB-9238-4A6D-B901-D67699685175}" presName="conn2-1" presStyleLbl="parChTrans1D4" presStyleIdx="16" presStyleCnt="19"/>
      <dgm:spPr/>
      <dgm:t>
        <a:bodyPr/>
        <a:lstStyle/>
        <a:p>
          <a:endParaRPr lang="en-US"/>
        </a:p>
      </dgm:t>
    </dgm:pt>
    <dgm:pt modelId="{1A05C30A-376D-4C41-9416-8D779A626D70}" type="pres">
      <dgm:prSet presAssocID="{15CB56BB-9238-4A6D-B901-D67699685175}" presName="connTx" presStyleLbl="parChTrans1D4" presStyleIdx="16" presStyleCnt="19"/>
      <dgm:spPr/>
      <dgm:t>
        <a:bodyPr/>
        <a:lstStyle/>
        <a:p>
          <a:endParaRPr lang="en-US"/>
        </a:p>
      </dgm:t>
    </dgm:pt>
    <dgm:pt modelId="{0E7B64D2-84BC-40F5-A6C2-9BF5388220E7}" type="pres">
      <dgm:prSet presAssocID="{77C6CB81-1D50-450C-BA10-EC1F6FAEBBF4}" presName="root2" presStyleCnt="0"/>
      <dgm:spPr/>
    </dgm:pt>
    <dgm:pt modelId="{C6C025CE-221C-4327-A348-9A554704826E}" type="pres">
      <dgm:prSet presAssocID="{77C6CB81-1D50-450C-BA10-EC1F6FAEBBF4}" presName="LevelTwoTextNode" presStyleLbl="node4" presStyleIdx="16" presStyleCnt="19" custLinFactX="100000" custLinFactNeighborX="155855" custLinFactNeighborY="-46519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F0349FE-B93E-4153-A540-1CA14E5717DB}" type="pres">
      <dgm:prSet presAssocID="{77C6CB81-1D50-450C-BA10-EC1F6FAEBBF4}" presName="level3hierChild" presStyleCnt="0"/>
      <dgm:spPr/>
    </dgm:pt>
    <dgm:pt modelId="{5146FCCB-5E09-4B76-85D1-D588FE5417E4}" type="pres">
      <dgm:prSet presAssocID="{923B5E93-0C3C-49BA-ABC2-945B100B09A3}" presName="conn2-1" presStyleLbl="parChTrans1D3" presStyleIdx="9" presStyleCnt="14"/>
      <dgm:spPr/>
      <dgm:t>
        <a:bodyPr/>
        <a:lstStyle/>
        <a:p>
          <a:endParaRPr lang="en-US"/>
        </a:p>
      </dgm:t>
    </dgm:pt>
    <dgm:pt modelId="{B3E8F11E-2DD1-4ABF-B721-1A1157971104}" type="pres">
      <dgm:prSet presAssocID="{923B5E93-0C3C-49BA-ABC2-945B100B09A3}" presName="connTx" presStyleLbl="parChTrans1D3" presStyleIdx="9" presStyleCnt="14"/>
      <dgm:spPr/>
      <dgm:t>
        <a:bodyPr/>
        <a:lstStyle/>
        <a:p>
          <a:endParaRPr lang="en-US"/>
        </a:p>
      </dgm:t>
    </dgm:pt>
    <dgm:pt modelId="{2129FC57-869C-4BE5-AAA6-AA926533E076}" type="pres">
      <dgm:prSet presAssocID="{363F7C78-3B17-4409-BD31-352837B385F4}" presName="root2" presStyleCnt="0"/>
      <dgm:spPr/>
    </dgm:pt>
    <dgm:pt modelId="{2BE3BEDF-E831-4CB3-AAE8-76482441249E}" type="pres">
      <dgm:prSet presAssocID="{363F7C78-3B17-4409-BD31-352837B385F4}" presName="LevelTwoTextNode" presStyleLbl="node3" presStyleIdx="9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09151CA4-A31A-47A4-B3F2-1D462FAC34F4}" type="pres">
      <dgm:prSet presAssocID="{363F7C78-3B17-4409-BD31-352837B385F4}" presName="level3hierChild" presStyleCnt="0"/>
      <dgm:spPr/>
    </dgm:pt>
    <dgm:pt modelId="{3A4FE33A-4B6F-4151-BC36-1F5DECDE4DFD}" type="pres">
      <dgm:prSet presAssocID="{CDD38BF9-7009-4BCD-95D7-012BAF7E760B}" presName="conn2-1" presStyleLbl="parChTrans1D4" presStyleIdx="17" presStyleCnt="19"/>
      <dgm:spPr/>
      <dgm:t>
        <a:bodyPr/>
        <a:lstStyle/>
        <a:p>
          <a:endParaRPr lang="en-US"/>
        </a:p>
      </dgm:t>
    </dgm:pt>
    <dgm:pt modelId="{6BA51C8F-692E-4B58-9609-FCFAB36A67A0}" type="pres">
      <dgm:prSet presAssocID="{CDD38BF9-7009-4BCD-95D7-012BAF7E760B}" presName="connTx" presStyleLbl="parChTrans1D4" presStyleIdx="17" presStyleCnt="19"/>
      <dgm:spPr/>
      <dgm:t>
        <a:bodyPr/>
        <a:lstStyle/>
        <a:p>
          <a:endParaRPr lang="en-US"/>
        </a:p>
      </dgm:t>
    </dgm:pt>
    <dgm:pt modelId="{317021BB-4B19-4AA9-9A5D-EB8360E5685C}" type="pres">
      <dgm:prSet presAssocID="{FC7D8CF0-3A67-41F1-97BB-6F5D575A8C5F}" presName="root2" presStyleCnt="0"/>
      <dgm:spPr/>
    </dgm:pt>
    <dgm:pt modelId="{DCC97DC4-8449-4922-98B5-1BD41AF696A5}" type="pres">
      <dgm:prSet presAssocID="{FC7D8CF0-3A67-41F1-97BB-6F5D575A8C5F}" presName="LevelTwoTextNode" presStyleLbl="node4" presStyleIdx="17" presStyleCnt="19" custLinFactX="100000" custLinFactY="39558" custLinFactNeighborX="124842" custLinFactNeighborY="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671B69A-4676-484C-A467-260567FFAA48}" type="pres">
      <dgm:prSet presAssocID="{FC7D8CF0-3A67-41F1-97BB-6F5D575A8C5F}" presName="level3hierChild" presStyleCnt="0"/>
      <dgm:spPr/>
    </dgm:pt>
    <dgm:pt modelId="{B7DD2FF8-6783-48C5-BF7D-9BBBFF1FADFC}" type="pres">
      <dgm:prSet presAssocID="{60457A8D-48F9-4948-A3A1-64DED9A9BCD2}" presName="conn2-1" presStyleLbl="parChTrans1D4" presStyleIdx="18" presStyleCnt="19"/>
      <dgm:spPr/>
      <dgm:t>
        <a:bodyPr/>
        <a:lstStyle/>
        <a:p>
          <a:endParaRPr lang="en-US"/>
        </a:p>
      </dgm:t>
    </dgm:pt>
    <dgm:pt modelId="{3E750BA9-A918-4079-B217-1FD0A437B2F8}" type="pres">
      <dgm:prSet presAssocID="{60457A8D-48F9-4948-A3A1-64DED9A9BCD2}" presName="connTx" presStyleLbl="parChTrans1D4" presStyleIdx="18" presStyleCnt="19"/>
      <dgm:spPr/>
      <dgm:t>
        <a:bodyPr/>
        <a:lstStyle/>
        <a:p>
          <a:endParaRPr lang="en-US"/>
        </a:p>
      </dgm:t>
    </dgm:pt>
    <dgm:pt modelId="{E81F4EBF-148C-44B7-ABA0-5DE2946F6BE1}" type="pres">
      <dgm:prSet presAssocID="{977E46F2-A718-4A69-9B6C-F6E6741677ED}" presName="root2" presStyleCnt="0"/>
      <dgm:spPr/>
    </dgm:pt>
    <dgm:pt modelId="{6ABBA769-A237-496B-B6DC-5B06372CF4E3}" type="pres">
      <dgm:prSet presAssocID="{977E46F2-A718-4A69-9B6C-F6E6741677ED}" presName="LevelTwoTextNode" presStyleLbl="node4" presStyleIdx="18" presStyleCnt="19" custLinFactX="100000" custLinFactY="39558" custLinFactNeighborX="122258" custLinFactNeighborY="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C4D55832-A0F6-412E-B806-136A50442996}" type="pres">
      <dgm:prSet presAssocID="{977E46F2-A718-4A69-9B6C-F6E6741677ED}" presName="level3hierChild" presStyleCnt="0"/>
      <dgm:spPr/>
    </dgm:pt>
    <dgm:pt modelId="{8921587A-3FC0-4F0D-BE9E-EB3318B3AD18}" type="pres">
      <dgm:prSet presAssocID="{CB0E3E3D-174B-4957-B1EE-2C0C7AA23ED9}" presName="conn2-1" presStyleLbl="parChTrans1D3" presStyleIdx="10" presStyleCnt="14"/>
      <dgm:spPr/>
      <dgm:t>
        <a:bodyPr/>
        <a:lstStyle/>
        <a:p>
          <a:endParaRPr lang="en-US"/>
        </a:p>
      </dgm:t>
    </dgm:pt>
    <dgm:pt modelId="{B7C5E2FE-1A72-4DA8-B7C8-4D453A8021FE}" type="pres">
      <dgm:prSet presAssocID="{CB0E3E3D-174B-4957-B1EE-2C0C7AA23ED9}" presName="connTx" presStyleLbl="parChTrans1D3" presStyleIdx="10" presStyleCnt="14"/>
      <dgm:spPr/>
      <dgm:t>
        <a:bodyPr/>
        <a:lstStyle/>
        <a:p>
          <a:endParaRPr lang="en-US"/>
        </a:p>
      </dgm:t>
    </dgm:pt>
    <dgm:pt modelId="{090206E6-737A-4F5B-AAB7-B12DA3BF1F07}" type="pres">
      <dgm:prSet presAssocID="{2DC50D0B-310D-40C2-B516-275575FE14D8}" presName="root2" presStyleCnt="0"/>
      <dgm:spPr/>
    </dgm:pt>
    <dgm:pt modelId="{4EA0C507-EC4F-41AC-85CB-797342E073FE}" type="pres">
      <dgm:prSet presAssocID="{2DC50D0B-310D-40C2-B516-275575FE14D8}" presName="LevelTwoTextNode" presStyleLbl="node3" presStyleIdx="10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F48D871-E9ED-4981-823B-3B305E61789B}" type="pres">
      <dgm:prSet presAssocID="{2DC50D0B-310D-40C2-B516-275575FE14D8}" presName="level3hierChild" presStyleCnt="0"/>
      <dgm:spPr/>
    </dgm:pt>
    <dgm:pt modelId="{E63256BC-891C-479A-BB09-95EA6E35B16F}" type="pres">
      <dgm:prSet presAssocID="{8CF5BAA9-D4BC-41B1-A494-B067ABFA1141}" presName="conn2-1" presStyleLbl="parChTrans1D3" presStyleIdx="11" presStyleCnt="14"/>
      <dgm:spPr/>
      <dgm:t>
        <a:bodyPr/>
        <a:lstStyle/>
        <a:p>
          <a:endParaRPr lang="en-US"/>
        </a:p>
      </dgm:t>
    </dgm:pt>
    <dgm:pt modelId="{350876BB-7A04-4D7A-9390-EBC46FF1103B}" type="pres">
      <dgm:prSet presAssocID="{8CF5BAA9-D4BC-41B1-A494-B067ABFA1141}" presName="connTx" presStyleLbl="parChTrans1D3" presStyleIdx="11" presStyleCnt="14"/>
      <dgm:spPr/>
      <dgm:t>
        <a:bodyPr/>
        <a:lstStyle/>
        <a:p>
          <a:endParaRPr lang="en-US"/>
        </a:p>
      </dgm:t>
    </dgm:pt>
    <dgm:pt modelId="{6F75489C-0985-4B06-9367-4B8838822A58}" type="pres">
      <dgm:prSet presAssocID="{0831F7D8-7F8A-47BC-8186-DC8D41B52038}" presName="root2" presStyleCnt="0"/>
      <dgm:spPr/>
    </dgm:pt>
    <dgm:pt modelId="{1BBB41D4-F1B3-4963-8E1C-E9C26CDE9C75}" type="pres">
      <dgm:prSet presAssocID="{0831F7D8-7F8A-47BC-8186-DC8D41B52038}" presName="LevelTwoTextNode" presStyleLbl="node3" presStyleIdx="11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60BF96C9-53C8-49A4-B097-910AF1F719B9}" type="pres">
      <dgm:prSet presAssocID="{0831F7D8-7F8A-47BC-8186-DC8D41B52038}" presName="level3hierChild" presStyleCnt="0"/>
      <dgm:spPr/>
    </dgm:pt>
    <dgm:pt modelId="{5D705C64-9DFE-4578-969A-727A81F4201A}" type="pres">
      <dgm:prSet presAssocID="{4B5F2143-0900-414D-8A43-D0FCABFADA6A}" presName="conn2-1" presStyleLbl="parChTrans1D3" presStyleIdx="12" presStyleCnt="14"/>
      <dgm:spPr/>
      <dgm:t>
        <a:bodyPr/>
        <a:lstStyle/>
        <a:p>
          <a:endParaRPr lang="en-US"/>
        </a:p>
      </dgm:t>
    </dgm:pt>
    <dgm:pt modelId="{07BB44AD-5DA9-4724-90A0-ED9ADFCD0149}" type="pres">
      <dgm:prSet presAssocID="{4B5F2143-0900-414D-8A43-D0FCABFADA6A}" presName="connTx" presStyleLbl="parChTrans1D3" presStyleIdx="12" presStyleCnt="14"/>
      <dgm:spPr/>
      <dgm:t>
        <a:bodyPr/>
        <a:lstStyle/>
        <a:p>
          <a:endParaRPr lang="en-US"/>
        </a:p>
      </dgm:t>
    </dgm:pt>
    <dgm:pt modelId="{963CB641-148E-4903-8859-DCBB3A552CDB}" type="pres">
      <dgm:prSet presAssocID="{13201B20-5ECA-42C9-8A05-168DF0A4B8C1}" presName="root2" presStyleCnt="0"/>
      <dgm:spPr/>
    </dgm:pt>
    <dgm:pt modelId="{6C83BF9F-4FC0-45B3-A6FE-CB6BCB5CAF4D}" type="pres">
      <dgm:prSet presAssocID="{13201B20-5ECA-42C9-8A05-168DF0A4B8C1}" presName="LevelTwoTextNode" presStyleLbl="node3" presStyleIdx="12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749DCE65-EAEE-4FCC-AC6D-3E8A91EA1257}" type="pres">
      <dgm:prSet presAssocID="{13201B20-5ECA-42C9-8A05-168DF0A4B8C1}" presName="level3hierChild" presStyleCnt="0"/>
      <dgm:spPr/>
    </dgm:pt>
    <dgm:pt modelId="{E5FAC94E-1C4B-443B-B281-8F60D5F40EC1}" type="pres">
      <dgm:prSet presAssocID="{29AAA6F0-42AF-4C67-B95B-8C52A4F20C52}" presName="conn2-1" presStyleLbl="parChTrans1D3" presStyleIdx="13" presStyleCnt="14"/>
      <dgm:spPr/>
      <dgm:t>
        <a:bodyPr/>
        <a:lstStyle/>
        <a:p>
          <a:endParaRPr lang="en-US"/>
        </a:p>
      </dgm:t>
    </dgm:pt>
    <dgm:pt modelId="{5666F91C-7BEB-4B72-8393-CB8CC553C5C8}" type="pres">
      <dgm:prSet presAssocID="{29AAA6F0-42AF-4C67-B95B-8C52A4F20C52}" presName="connTx" presStyleLbl="parChTrans1D3" presStyleIdx="13" presStyleCnt="14"/>
      <dgm:spPr/>
      <dgm:t>
        <a:bodyPr/>
        <a:lstStyle/>
        <a:p>
          <a:endParaRPr lang="en-US"/>
        </a:p>
      </dgm:t>
    </dgm:pt>
    <dgm:pt modelId="{C0F2308C-83F5-4CC5-B53E-A4E2F236284A}" type="pres">
      <dgm:prSet presAssocID="{71F0DE30-5B8E-4E8D-A93B-72B60C46F165}" presName="root2" presStyleCnt="0"/>
      <dgm:spPr/>
    </dgm:pt>
    <dgm:pt modelId="{E17BAC59-B307-44B1-AB82-FDA90FC86DD7}" type="pres">
      <dgm:prSet presAssocID="{71F0DE30-5B8E-4E8D-A93B-72B60C46F165}" presName="LevelTwoTextNode" presStyleLbl="node3" presStyleIdx="13" presStyleCnt="14" custLinFactX="-133388" custLinFactY="-115297" custLinFactNeighborX="-200000" custLinFactNeighborY="-2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A40A76A7-F748-493B-B1C6-6BCDA816FF78}" type="pres">
      <dgm:prSet presAssocID="{71F0DE30-5B8E-4E8D-A93B-72B60C46F165}" presName="level3hierChild" presStyleCnt="0"/>
      <dgm:spPr/>
    </dgm:pt>
    <dgm:pt modelId="{26EB1BB0-09D7-46FC-A570-2F684DE8AF1A}" type="pres">
      <dgm:prSet presAssocID="{8D297A19-0F38-46F4-8DA6-17243F746680}" presName="conn2-1" presStyleLbl="parChTrans1D2" presStyleIdx="2" presStyleCnt="3"/>
      <dgm:spPr/>
      <dgm:t>
        <a:bodyPr/>
        <a:lstStyle/>
        <a:p>
          <a:endParaRPr lang="en-US"/>
        </a:p>
      </dgm:t>
    </dgm:pt>
    <dgm:pt modelId="{79099B59-52CB-4025-AC2E-41024C24342F}" type="pres">
      <dgm:prSet presAssocID="{8D297A19-0F38-46F4-8DA6-17243F746680}" presName="connTx" presStyleLbl="parChTrans1D2" presStyleIdx="2" presStyleCnt="3"/>
      <dgm:spPr/>
      <dgm:t>
        <a:bodyPr/>
        <a:lstStyle/>
        <a:p>
          <a:endParaRPr lang="en-US"/>
        </a:p>
      </dgm:t>
    </dgm:pt>
    <dgm:pt modelId="{750965AD-7672-45A6-B9AD-BD327255FB19}" type="pres">
      <dgm:prSet presAssocID="{D541C300-55BC-4B77-84E8-CDA08FC736CD}" presName="root2" presStyleCnt="0"/>
      <dgm:spPr/>
    </dgm:pt>
    <dgm:pt modelId="{25B1F19D-37E2-486E-BD37-55A81223D911}" type="pres">
      <dgm:prSet presAssocID="{D541C300-55BC-4B77-84E8-CDA08FC736CD}" presName="LevelTwoTextNode" presStyleLbl="node2" presStyleIdx="2" presStyleCnt="3" custLinFactX="-398581" custLinFactY="-60233" custLinFactNeighborX="-400000" custLinFactNeighborY="-100000">
        <dgm:presLayoutVars>
          <dgm:chPref val="3"/>
        </dgm:presLayoutVars>
      </dgm:prSet>
      <dgm:spPr/>
      <dgm:t>
        <a:bodyPr/>
        <a:lstStyle/>
        <a:p>
          <a:endParaRPr lang="en-US"/>
        </a:p>
      </dgm:t>
    </dgm:pt>
    <dgm:pt modelId="{3C9E6B16-FF2E-48F8-A429-908BF627A839}" type="pres">
      <dgm:prSet presAssocID="{D541C300-55BC-4B77-84E8-CDA08FC736CD}" presName="level3hierChild" presStyleCnt="0"/>
      <dgm:spPr/>
    </dgm:pt>
  </dgm:ptLst>
  <dgm:cxnLst>
    <dgm:cxn modelId="{F644F46C-B1BC-4200-9C0C-104F10D944B7}" type="presOf" srcId="{4B5F2143-0900-414D-8A43-D0FCABFADA6A}" destId="{5D705C64-9DFE-4578-969A-727A81F4201A}" srcOrd="0" destOrd="0" presId="urn:microsoft.com/office/officeart/2005/8/layout/hierarchy2"/>
    <dgm:cxn modelId="{F5787AC9-6A18-4598-AC0A-4B54920850F2}" srcId="{9724AEFC-93E8-4DE5-9067-AB7C7DD1C8A1}" destId="{C8443D54-2B07-4C58-BFD4-F22684F27CD9}" srcOrd="1" destOrd="0" parTransId="{006C277B-FD22-4134-8B23-8A7CE5CDEF09}" sibTransId="{7D4885C1-F1C9-43EC-AD6F-D6A59EE315B4}"/>
    <dgm:cxn modelId="{68FCFCC7-5D2D-4DF5-B036-355B6B5C96A9}" type="presOf" srcId="{FFB30BFA-0A35-4B9E-AA87-ABA7988C2C7C}" destId="{E6CD0E54-4C27-4653-B74F-A7AACD0F2C83}" srcOrd="0" destOrd="0" presId="urn:microsoft.com/office/officeart/2005/8/layout/hierarchy2"/>
    <dgm:cxn modelId="{A05A5EDD-5C1D-45D8-8978-9DD7B396FAAB}" srcId="{761CC5BC-AAB4-44E9-85E4-6BB8889AD49B}" destId="{8C79794B-A7E7-4B53-8C78-5B76E10B5172}" srcOrd="1" destOrd="0" parTransId="{98BBC753-BACC-4CFD-A556-B3B7028EDE4D}" sibTransId="{12DB4702-F3E7-460F-84D2-7499D2754A4A}"/>
    <dgm:cxn modelId="{A3A6762C-2687-4B4F-AB0C-9E4C39B24C92}" srcId="{F7376214-A691-46F4-ADA8-446B8E6B6538}" destId="{0A88B9B1-8840-4F9A-AD79-25CA7CFB6BFA}" srcOrd="3" destOrd="0" parTransId="{E27C73FD-43F6-4844-B787-0011E2EB6A45}" sibTransId="{F798342D-F7A2-466A-9D62-1CFA2442C317}"/>
    <dgm:cxn modelId="{7634BEAB-FBA1-458A-9018-E527ACFB6D53}" type="presOf" srcId="{FE4E9C97-E62D-44C7-B309-F774C334F84E}" destId="{AD8CB1DB-0DAD-403B-ADFB-2A460183A645}" srcOrd="0" destOrd="0" presId="urn:microsoft.com/office/officeart/2005/8/layout/hierarchy2"/>
    <dgm:cxn modelId="{069E2E7F-8232-4F9D-9413-7F62B7905399}" type="presOf" srcId="{363F7C78-3B17-4409-BD31-352837B385F4}" destId="{2BE3BEDF-E831-4CB3-AAE8-76482441249E}" srcOrd="0" destOrd="0" presId="urn:microsoft.com/office/officeart/2005/8/layout/hierarchy2"/>
    <dgm:cxn modelId="{44D78C65-CAE0-4C03-BD69-FCE5620C59B6}" srcId="{13D08A5D-1E8D-4267-808D-27AF896B9F30}" destId="{D541C300-55BC-4B77-84E8-CDA08FC736CD}" srcOrd="2" destOrd="0" parTransId="{8D297A19-0F38-46F4-8DA6-17243F746680}" sibTransId="{F04E1FBB-5920-4EB8-A877-ABB28C795F70}"/>
    <dgm:cxn modelId="{0F98A18D-3A75-40CD-BF91-F67F3171F9BD}" type="presOf" srcId="{923B5E93-0C3C-49BA-ABC2-945B100B09A3}" destId="{B3E8F11E-2DD1-4ABF-B721-1A1157971104}" srcOrd="1" destOrd="0" presId="urn:microsoft.com/office/officeart/2005/8/layout/hierarchy2"/>
    <dgm:cxn modelId="{6B939023-8E0D-4890-A5E4-F14F49F351EE}" srcId="{761CC5BC-AAB4-44E9-85E4-6BB8889AD49B}" destId="{71F0DE30-5B8E-4E8D-A93B-72B60C46F165}" srcOrd="7" destOrd="0" parTransId="{29AAA6F0-42AF-4C67-B95B-8C52A4F20C52}" sibTransId="{90B63C73-D04A-4A8C-8F72-ED52AF8FFF2C}"/>
    <dgm:cxn modelId="{87CC7BEF-5803-4E52-8DA8-614914BAD9E9}" type="presOf" srcId="{5C5754F0-C16F-4D6C-8769-31757C1B8575}" destId="{EFF336B8-3290-43F7-8655-F7279E31B683}" srcOrd="0" destOrd="0" presId="urn:microsoft.com/office/officeart/2005/8/layout/hierarchy2"/>
    <dgm:cxn modelId="{011AD78F-99D3-4C0A-BA3D-7B7E237F48FB}" srcId="{F7376214-A691-46F4-ADA8-446B8E6B6538}" destId="{6886FA2F-99CE-48C6-A7F2-377F31453F25}" srcOrd="5" destOrd="0" parTransId="{154C6A6A-0C07-479D-BF35-5A5069D0CA0C}" sibTransId="{35BB03D0-2EFB-474F-B965-28FB866A026D}"/>
    <dgm:cxn modelId="{5AF0C7CF-1408-4D0E-AB6A-27A33692CF05}" type="presOf" srcId="{FACA4EEE-B782-43AB-B045-0D53A69EA0FE}" destId="{6EBBE531-A816-4AD4-A19E-BFFFDA1B5EB8}" srcOrd="0" destOrd="0" presId="urn:microsoft.com/office/officeart/2005/8/layout/hierarchy2"/>
    <dgm:cxn modelId="{F38F58B8-37D3-4DF9-A234-25035DDE562E}" type="presOf" srcId="{CB0E3E3D-174B-4957-B1EE-2C0C7AA23ED9}" destId="{8921587A-3FC0-4F0D-BE9E-EB3318B3AD18}" srcOrd="0" destOrd="0" presId="urn:microsoft.com/office/officeart/2005/8/layout/hierarchy2"/>
    <dgm:cxn modelId="{5300C474-B5B3-4C74-811A-6D8A1AD7B2A3}" type="presOf" srcId="{761CC5BC-AAB4-44E9-85E4-6BB8889AD49B}" destId="{331ADF1E-BBA5-486B-9F9D-2CD4170DB57A}" srcOrd="0" destOrd="0" presId="urn:microsoft.com/office/officeart/2005/8/layout/hierarchy2"/>
    <dgm:cxn modelId="{907F6E9A-910E-48B2-B274-FE7635B6D26D}" type="presOf" srcId="{514DFECE-18FC-404D-AEBA-31A30533BCBA}" destId="{69866E97-9649-4131-B0B3-F7CA9B612189}" srcOrd="0" destOrd="0" presId="urn:microsoft.com/office/officeart/2005/8/layout/hierarchy2"/>
    <dgm:cxn modelId="{2092E78B-2ACA-46AA-A4B8-28F1DB3C8A7F}" type="presOf" srcId="{F7376214-A691-46F4-ADA8-446B8E6B6538}" destId="{F00660F1-6F38-4D54-9BC9-19D75E9F374B}" srcOrd="0" destOrd="0" presId="urn:microsoft.com/office/officeart/2005/8/layout/hierarchy2"/>
    <dgm:cxn modelId="{EFDAEFE8-6A82-4032-B1B7-884179FC5B03}" srcId="{761CC5BC-AAB4-44E9-85E4-6BB8889AD49B}" destId="{71348313-5427-4749-BFAE-F292B4D9A505}" srcOrd="0" destOrd="0" parTransId="{C5D54C43-5190-43C0-9696-7980C54CFE3A}" sibTransId="{E3041C1F-114E-4BD9-AEA9-E1EC3FC05494}"/>
    <dgm:cxn modelId="{39882C0B-C9F2-45E0-85C1-157A44CEE4D7}" type="presOf" srcId="{77C6CB81-1D50-450C-BA10-EC1F6FAEBBF4}" destId="{C6C025CE-221C-4327-A348-9A554704826E}" srcOrd="0" destOrd="0" presId="urn:microsoft.com/office/officeart/2005/8/layout/hierarchy2"/>
    <dgm:cxn modelId="{65499016-CC9C-4574-86DA-21E670E6BD35}" type="presOf" srcId="{4C3388EF-4839-483D-8117-800C3F490423}" destId="{D89D0FAC-93CE-4E83-8F6E-E619B382ED37}" srcOrd="0" destOrd="0" presId="urn:microsoft.com/office/officeart/2005/8/layout/hierarchy2"/>
    <dgm:cxn modelId="{B4C1A382-F299-45C2-B9D6-A88E7F533FC4}" type="presOf" srcId="{773FC346-12AC-43D3-85E6-2620846609A2}" destId="{46E99B83-74EF-41D3-A034-E05E1A53C2F6}" srcOrd="0" destOrd="0" presId="urn:microsoft.com/office/officeart/2005/8/layout/hierarchy2"/>
    <dgm:cxn modelId="{A550CA0D-03A4-4DE2-B169-E4D088FF97A5}" srcId="{82A5275F-A1F7-406F-B713-2E5F279C3667}" destId="{B9FC2BF2-931F-4F95-9662-5F0397D46E9D}" srcOrd="0" destOrd="0" parTransId="{DA406D26-BECA-4369-AB37-718339810C16}" sibTransId="{0E10BEA3-50AC-4613-A70F-874473816B27}"/>
    <dgm:cxn modelId="{12D5C04A-4D4A-40C1-BEF7-B74A0434C6A3}" type="presOf" srcId="{D8987359-6F8E-4A42-810C-0A946A6180D8}" destId="{38F18FE5-8216-48E8-BFB0-86593B0D4ADA}" srcOrd="0" destOrd="0" presId="urn:microsoft.com/office/officeart/2005/8/layout/hierarchy2"/>
    <dgm:cxn modelId="{C9A36BB2-C317-48A6-8D94-67CC2AEF39BD}" type="presOf" srcId="{FC7D8CF0-3A67-41F1-97BB-6F5D575A8C5F}" destId="{DCC97DC4-8449-4922-98B5-1BD41AF696A5}" srcOrd="0" destOrd="0" presId="urn:microsoft.com/office/officeart/2005/8/layout/hierarchy2"/>
    <dgm:cxn modelId="{12F3B373-4D8F-4434-803B-AE3DBDC8D433}" type="presOf" srcId="{93539560-4C96-433A-88AA-80C2ADE561C8}" destId="{CBFAB40B-5683-4F2D-A030-17372AF3A63D}" srcOrd="1" destOrd="0" presId="urn:microsoft.com/office/officeart/2005/8/layout/hierarchy2"/>
    <dgm:cxn modelId="{739A7509-E4E1-4D64-9812-A2EDC2CF3F02}" type="presOf" srcId="{05859CB5-F0B3-49D6-BC7D-D4558C5EBB27}" destId="{693D7B28-56BA-4A57-A292-6D1C38711570}" srcOrd="0" destOrd="0" presId="urn:microsoft.com/office/officeart/2005/8/layout/hierarchy2"/>
    <dgm:cxn modelId="{1F5D4FCA-2C67-4F04-A378-D08EC3C4DA0E}" type="presOf" srcId="{74A63C97-04CB-4849-94F8-12A465E0EB0F}" destId="{27E28E2C-1EEA-4C9D-9B3F-519D7653BCE9}" srcOrd="1" destOrd="0" presId="urn:microsoft.com/office/officeart/2005/8/layout/hierarchy2"/>
    <dgm:cxn modelId="{D2E2E846-3591-40E9-92AF-1C8F9565E960}" type="presOf" srcId="{F5E2FFEA-2EFF-49DD-B731-01F1401591BE}" destId="{B6389B8A-E724-46AA-AECB-FE26D88A4F51}" srcOrd="0" destOrd="0" presId="urn:microsoft.com/office/officeart/2005/8/layout/hierarchy2"/>
    <dgm:cxn modelId="{996A04BD-D7F7-4C04-A0CE-080FF3CE9761}" type="presOf" srcId="{2685B63D-3873-4FF9-AE45-260D4E657C8A}" destId="{B4D986C1-9722-47AD-B205-09A37D059787}" srcOrd="1" destOrd="0" presId="urn:microsoft.com/office/officeart/2005/8/layout/hierarchy2"/>
    <dgm:cxn modelId="{A918F7BA-57F8-41DA-AC06-B64947F6EA08}" type="presOf" srcId="{7971183B-9A71-4D38-8670-F58F1BFBD806}" destId="{17ABE5F7-5FE3-4302-8EDE-F80DBEB64D41}" srcOrd="0" destOrd="0" presId="urn:microsoft.com/office/officeart/2005/8/layout/hierarchy2"/>
    <dgm:cxn modelId="{EF8E8BFF-DA33-46A1-A8C4-A3F570075856}" type="presOf" srcId="{19877201-5620-4D09-8F08-FAE4BFB26E58}" destId="{8FE83A1E-3DC4-41C0-9B71-2126AE2B7C0B}" srcOrd="0" destOrd="0" presId="urn:microsoft.com/office/officeart/2005/8/layout/hierarchy2"/>
    <dgm:cxn modelId="{7F3C17A1-1B1A-41E1-BE6C-99EC4A7650BC}" type="presOf" srcId="{98BBC753-BACC-4CFD-A556-B3B7028EDE4D}" destId="{4EA03074-18F4-4347-B4DB-0164CA9DF94D}" srcOrd="0" destOrd="0" presId="urn:microsoft.com/office/officeart/2005/8/layout/hierarchy2"/>
    <dgm:cxn modelId="{53CB211A-F6C5-4900-A9CF-DDFEFA6D9C9B}" type="presOf" srcId="{C5D54C43-5190-43C0-9696-7980C54CFE3A}" destId="{D0B90E32-13A1-47C3-A1D7-08420968502F}" srcOrd="0" destOrd="0" presId="urn:microsoft.com/office/officeart/2005/8/layout/hierarchy2"/>
    <dgm:cxn modelId="{09326D0C-736E-4513-8A1D-9DB2FEFE2D1D}" type="presOf" srcId="{80CAEC47-4D41-4E72-8B22-4E40EE098994}" destId="{4BF0104B-2CF6-4FDD-819B-CC420B37C6C0}" srcOrd="1" destOrd="0" presId="urn:microsoft.com/office/officeart/2005/8/layout/hierarchy2"/>
    <dgm:cxn modelId="{04F76777-2117-4F2E-84DA-985D60CD3452}" srcId="{363F7C78-3B17-4409-BD31-352837B385F4}" destId="{977E46F2-A718-4A69-9B6C-F6E6741677ED}" srcOrd="1" destOrd="0" parTransId="{60457A8D-48F9-4948-A3A1-64DED9A9BCD2}" sibTransId="{56B189A5-8545-4D15-BCBF-14A3A68BBB52}"/>
    <dgm:cxn modelId="{86A3DC94-27EA-49FA-9F87-415624EFBD9D}" srcId="{9724AEFC-93E8-4DE5-9067-AB7C7DD1C8A1}" destId="{7971183B-9A71-4D38-8670-F58F1BFBD806}" srcOrd="2" destOrd="0" parTransId="{74A63C97-04CB-4849-94F8-12A465E0EB0F}" sibTransId="{058D8FD6-4D4C-4BDB-9445-7861BDC52994}"/>
    <dgm:cxn modelId="{7EAF3275-C034-477A-8C79-89E417157450}" type="presOf" srcId="{93539560-4C96-433A-88AA-80C2ADE561C8}" destId="{AC9ACBFE-11B0-48A5-8991-E653A44146FA}" srcOrd="0" destOrd="0" presId="urn:microsoft.com/office/officeart/2005/8/layout/hierarchy2"/>
    <dgm:cxn modelId="{84BE24DA-86F1-44E6-AF34-600BFC9DA4FC}" type="presOf" srcId="{29AAA6F0-42AF-4C67-B95B-8C52A4F20C52}" destId="{E5FAC94E-1C4B-443B-B281-8F60D5F40EC1}" srcOrd="0" destOrd="0" presId="urn:microsoft.com/office/officeart/2005/8/layout/hierarchy2"/>
    <dgm:cxn modelId="{E00A9053-B98B-463A-8C16-5E30E7D16A7C}" type="presOf" srcId="{60457A8D-48F9-4948-A3A1-64DED9A9BCD2}" destId="{B7DD2FF8-6783-48C5-BF7D-9BBBFF1FADFC}" srcOrd="0" destOrd="0" presId="urn:microsoft.com/office/officeart/2005/8/layout/hierarchy2"/>
    <dgm:cxn modelId="{66A1CC4C-6BD2-42AA-89C4-A78C6C5724E9}" type="presOf" srcId="{923B5E93-0C3C-49BA-ABC2-945B100B09A3}" destId="{5146FCCB-5E09-4B76-85D1-D588FE5417E4}" srcOrd="0" destOrd="0" presId="urn:microsoft.com/office/officeart/2005/8/layout/hierarchy2"/>
    <dgm:cxn modelId="{7A0C5D84-231B-4696-AF88-9842D744E656}" type="presOf" srcId="{98BBC753-BACC-4CFD-A556-B3B7028EDE4D}" destId="{EF2B67FB-BA2C-4F10-B355-C36818BEA72F}" srcOrd="1" destOrd="0" presId="urn:microsoft.com/office/officeart/2005/8/layout/hierarchy2"/>
    <dgm:cxn modelId="{B0A88EE2-F5BC-4A25-8225-B4949ED9288A}" srcId="{82A5275F-A1F7-406F-B713-2E5F279C3667}" destId="{18CF2DDF-9365-4EAA-9494-BF321E4874E3}" srcOrd="3" destOrd="0" parTransId="{93539560-4C96-433A-88AA-80C2ADE561C8}" sibTransId="{BCB06F48-F230-49D1-AD94-739F3B1B7692}"/>
    <dgm:cxn modelId="{F003C363-0D97-47B1-AE5D-0033DB7E3817}" srcId="{F7376214-A691-46F4-ADA8-446B8E6B6538}" destId="{91F2D88E-974E-46D3-B998-544DF69D109E}" srcOrd="2" destOrd="0" parTransId="{C0D5BB41-3723-4E66-B23F-E4C448561C24}" sibTransId="{4E930C06-0360-45E4-B823-AA623EBB3D3C}"/>
    <dgm:cxn modelId="{BC334AFF-D7BB-4A99-AAFE-448D8097668D}" type="presOf" srcId="{80CAEC47-4D41-4E72-8B22-4E40EE098994}" destId="{BDCF1001-503C-4A12-9480-65B2B61EC0E5}" srcOrd="0" destOrd="0" presId="urn:microsoft.com/office/officeart/2005/8/layout/hierarchy2"/>
    <dgm:cxn modelId="{09762617-DFC1-4795-A0C2-FF894BDEED4E}" type="presOf" srcId="{E875D070-2FF4-4B9D-8604-18C03631C85F}" destId="{D47553C5-0DF5-4701-B101-392E09E6FF4E}" srcOrd="0" destOrd="0" presId="urn:microsoft.com/office/officeart/2005/8/layout/hierarchy2"/>
    <dgm:cxn modelId="{8C25FE20-E95E-4260-B6DA-3E2C0108C752}" type="presOf" srcId="{DA076C16-F3E8-4D9A-A23B-09C15A249C29}" destId="{C5128C26-D238-45EC-8009-95D670FD4359}" srcOrd="0" destOrd="0" presId="urn:microsoft.com/office/officeart/2005/8/layout/hierarchy2"/>
    <dgm:cxn modelId="{83F7A0F4-3151-4A10-88D0-111DAFFBEAE2}" type="presOf" srcId="{82A5275F-A1F7-406F-B713-2E5F279C3667}" destId="{4A92D06A-4F25-4323-AC01-789A2832BE3E}" srcOrd="0" destOrd="0" presId="urn:microsoft.com/office/officeart/2005/8/layout/hierarchy2"/>
    <dgm:cxn modelId="{A3946D20-1CD0-4B4E-8AEA-C5241146C734}" type="presOf" srcId="{C0D5BB41-3723-4E66-B23F-E4C448561C24}" destId="{CAFE1ABB-C4AB-4911-9B91-620A848B5AA4}" srcOrd="0" destOrd="0" presId="urn:microsoft.com/office/officeart/2005/8/layout/hierarchy2"/>
    <dgm:cxn modelId="{A1A8B8FC-37E2-432D-BA95-29B1C8ADA3B3}" srcId="{AE1D277E-0D81-44F7-8D85-667675EBEF11}" destId="{773FC346-12AC-43D3-85E6-2620846609A2}" srcOrd="0" destOrd="0" parTransId="{6812DF29-D484-4824-AE89-2B3092C5D790}" sibTransId="{C8DF8869-5E77-4C91-90FE-6404C898BAC3}"/>
    <dgm:cxn modelId="{3026765F-C733-4B8C-B3DB-0D8A7C8377A9}" type="presOf" srcId="{A29A2ED0-1151-468A-9105-7CC0D1EF2704}" destId="{2AECA317-6EB7-4C3B-958C-AA586F86DF26}" srcOrd="1" destOrd="0" presId="urn:microsoft.com/office/officeart/2005/8/layout/hierarchy2"/>
    <dgm:cxn modelId="{375950CC-B37C-4F96-BC72-56634CD7801B}" type="presOf" srcId="{6886FA2F-99CE-48C6-A7F2-377F31453F25}" destId="{0F613EA8-A02E-4F7F-BBD0-C52132ED4386}" srcOrd="0" destOrd="0" presId="urn:microsoft.com/office/officeart/2005/8/layout/hierarchy2"/>
    <dgm:cxn modelId="{FD0CE876-4C5F-4CA4-9800-7E824A68682A}" srcId="{363F7C78-3B17-4409-BD31-352837B385F4}" destId="{FC7D8CF0-3A67-41F1-97BB-6F5D575A8C5F}" srcOrd="0" destOrd="0" parTransId="{CDD38BF9-7009-4BCD-95D7-012BAF7E760B}" sibTransId="{3DD364A8-3BC0-4C7D-80F4-724C55BF3758}"/>
    <dgm:cxn modelId="{9FD6767A-C51C-448D-98A3-0B4226834880}" srcId="{13D08A5D-1E8D-4267-808D-27AF896B9F30}" destId="{82A5275F-A1F7-406F-B713-2E5F279C3667}" srcOrd="0" destOrd="0" parTransId="{8CF501BB-EA8C-4A5E-91EE-698268077429}" sibTransId="{B203A9AD-B7FD-46E2-9ED1-8889AC494DDC}"/>
    <dgm:cxn modelId="{86051F00-B4C7-41AE-86CB-1F84A0F4906F}" type="presOf" srcId="{E875D070-2FF4-4B9D-8604-18C03631C85F}" destId="{4DEE9E45-1E47-41C3-95AA-B6E056E5446E}" srcOrd="1" destOrd="0" presId="urn:microsoft.com/office/officeart/2005/8/layout/hierarchy2"/>
    <dgm:cxn modelId="{424B2811-0FF1-4FDF-9D9D-A2C05CFC5CA8}" type="presOf" srcId="{C0D5BB41-3723-4E66-B23F-E4C448561C24}" destId="{2A816277-34F0-4EB8-AF76-6E3D7D0A1057}" srcOrd="1" destOrd="0" presId="urn:microsoft.com/office/officeart/2005/8/layout/hierarchy2"/>
    <dgm:cxn modelId="{1EF609B0-6DBC-44B1-BE52-1440C61A9DE6}" type="presOf" srcId="{9F18CCEE-ABC3-4F40-BA35-D528B6C3EBF9}" destId="{2D07A2AA-14E9-4499-A440-CFC618239BF5}" srcOrd="0" destOrd="0" presId="urn:microsoft.com/office/officeart/2005/8/layout/hierarchy2"/>
    <dgm:cxn modelId="{4735641B-7247-4DAF-B1F8-1A4C5357CF70}" type="presOf" srcId="{8C79794B-A7E7-4B53-8C78-5B76E10B5172}" destId="{D36F0518-F3FF-4FD0-AE57-092CAC3DBDBF}" srcOrd="0" destOrd="0" presId="urn:microsoft.com/office/officeart/2005/8/layout/hierarchy2"/>
    <dgm:cxn modelId="{6A9B5835-25D2-43AA-A7C0-9808791B1FD5}" type="presOf" srcId="{71F0DE30-5B8E-4E8D-A93B-72B60C46F165}" destId="{E17BAC59-B307-44B1-AB82-FDA90FC86DD7}" srcOrd="0" destOrd="0" presId="urn:microsoft.com/office/officeart/2005/8/layout/hierarchy2"/>
    <dgm:cxn modelId="{A86145D9-F489-4026-B481-D70AE11AD989}" type="presOf" srcId="{9724AEFC-93E8-4DE5-9067-AB7C7DD1C8A1}" destId="{44FBA2CD-E84F-4527-8E68-7EE89F81703E}" srcOrd="0" destOrd="0" presId="urn:microsoft.com/office/officeart/2005/8/layout/hierarchy2"/>
    <dgm:cxn modelId="{48D10473-09F4-4B59-8C8A-600D6B00F74D}" type="presOf" srcId="{006C277B-FD22-4134-8B23-8A7CE5CDEF09}" destId="{36FBAA05-0FD8-4987-B9BD-1945C89AAAB6}" srcOrd="0" destOrd="0" presId="urn:microsoft.com/office/officeart/2005/8/layout/hierarchy2"/>
    <dgm:cxn modelId="{376619C0-375B-4695-8130-E290455CA70C}" type="presOf" srcId="{F3E7D78B-73E2-42FA-9955-E458B7138E79}" destId="{2E259732-4D4A-45B9-9BAB-75AFDB70EF34}" srcOrd="0" destOrd="0" presId="urn:microsoft.com/office/officeart/2005/8/layout/hierarchy2"/>
    <dgm:cxn modelId="{4DF6B065-22C3-4040-B0C9-946011AC66A6}" srcId="{82A5275F-A1F7-406F-B713-2E5F279C3667}" destId="{41FD6689-9F33-4A4F-8603-AA18B86A1732}" srcOrd="2" destOrd="0" parTransId="{2685B63D-3873-4FF9-AE45-260D4E657C8A}" sibTransId="{1FE73033-435A-48B4-9298-A489FF454C3C}"/>
    <dgm:cxn modelId="{56F8AD53-6239-499C-BDA0-BA182903BEDA}" type="presOf" srcId="{D925D0E8-8CDE-481B-8AE6-85A0853D9EF1}" destId="{DD26DBD1-8CA1-41A6-B7A3-937E7847E4BD}" srcOrd="1" destOrd="0" presId="urn:microsoft.com/office/officeart/2005/8/layout/hierarchy2"/>
    <dgm:cxn modelId="{4D9339FD-6C56-42C0-9DED-0051F69918C3}" type="presOf" srcId="{4C3388EF-4839-483D-8117-800C3F490423}" destId="{667DBAFB-17B2-47E3-8B7B-1A420FF87C9E}" srcOrd="1" destOrd="0" presId="urn:microsoft.com/office/officeart/2005/8/layout/hierarchy2"/>
    <dgm:cxn modelId="{5405ACF9-25CC-41DE-9154-77C5F7492521}" type="presOf" srcId="{60457A8D-48F9-4948-A3A1-64DED9A9BCD2}" destId="{3E750BA9-A918-4079-B217-1FD0A437B2F8}" srcOrd="1" destOrd="0" presId="urn:microsoft.com/office/officeart/2005/8/layout/hierarchy2"/>
    <dgm:cxn modelId="{C70412AB-93AF-43AF-9398-B7D251E24820}" type="presOf" srcId="{2685B63D-3873-4FF9-AE45-260D4E657C8A}" destId="{0C0B1B24-32B6-4A1A-AEB3-5FD057FAE234}" srcOrd="0" destOrd="0" presId="urn:microsoft.com/office/officeart/2005/8/layout/hierarchy2"/>
    <dgm:cxn modelId="{80206EF9-C264-4CA4-892F-9734A9719275}" type="presOf" srcId="{FE4E9C97-E62D-44C7-B309-F774C334F84E}" destId="{E38D3CC2-238F-42DE-A321-3E5E78589648}" srcOrd="1" destOrd="0" presId="urn:microsoft.com/office/officeart/2005/8/layout/hierarchy2"/>
    <dgm:cxn modelId="{343A91C5-DA6F-4552-876D-05B5A564F649}" type="presOf" srcId="{CDD38BF9-7009-4BCD-95D7-012BAF7E760B}" destId="{3A4FE33A-4B6F-4151-BC36-1F5DECDE4DFD}" srcOrd="0" destOrd="0" presId="urn:microsoft.com/office/officeart/2005/8/layout/hierarchy2"/>
    <dgm:cxn modelId="{08AA3FD6-4648-4C25-9B68-3D2F9DDD52DC}" type="presOf" srcId="{89BAD40C-F9BC-4460-8022-3DE4733B9C8A}" destId="{DC64718A-BBE3-499D-AFDD-BDBEEB490DBE}" srcOrd="0" destOrd="0" presId="urn:microsoft.com/office/officeart/2005/8/layout/hierarchy2"/>
    <dgm:cxn modelId="{59CFFB66-8521-45BD-8A7C-E1CED1931081}" srcId="{71348313-5427-4749-BFAE-F292B4D9A505}" destId="{DA076C16-F3E8-4D9A-A23B-09C15A249C29}" srcOrd="1" destOrd="0" parTransId="{D8987359-6F8E-4A42-810C-0A946A6180D8}" sibTransId="{2ED83A9F-5265-4840-936D-79720CF7139F}"/>
    <dgm:cxn modelId="{1451D143-AE9B-482E-8F7B-830A7805478F}" type="presOf" srcId="{74A63C97-04CB-4849-94F8-12A465E0EB0F}" destId="{7F79701F-6ADF-4C10-8003-AA9B7DC17060}" srcOrd="0" destOrd="0" presId="urn:microsoft.com/office/officeart/2005/8/layout/hierarchy2"/>
    <dgm:cxn modelId="{F8130AC9-2F1E-4643-A299-E440B19D535D}" type="presOf" srcId="{CFBC149F-06A3-446E-A61F-918C8120BD3B}" destId="{75FC3538-6F78-4B4F-BA89-CA492A03BF2D}" srcOrd="0" destOrd="0" presId="urn:microsoft.com/office/officeart/2005/8/layout/hierarchy2"/>
    <dgm:cxn modelId="{FBFA1190-83A3-41D4-92FD-02553C9CBF05}" type="presOf" srcId="{15CB56BB-9238-4A6D-B901-D67699685175}" destId="{1A05C30A-376D-4C41-9416-8D779A626D70}" srcOrd="1" destOrd="0" presId="urn:microsoft.com/office/officeart/2005/8/layout/hierarchy2"/>
    <dgm:cxn modelId="{AF891980-6F7E-451F-A682-11E1375FF859}" type="presOf" srcId="{3D63419E-AF85-4812-A24A-B69B3EE7C2FE}" destId="{90053632-2939-4918-86BF-39FC82CC8D75}" srcOrd="0" destOrd="0" presId="urn:microsoft.com/office/officeart/2005/8/layout/hierarchy2"/>
    <dgm:cxn modelId="{7F2242AE-2A31-4939-8AEA-B7A2121BA87D}" type="presOf" srcId="{B9FC2BF2-931F-4F95-9662-5F0397D46E9D}" destId="{4B609013-FE7C-41B2-B0D0-4017D8381C7E}" srcOrd="0" destOrd="0" presId="urn:microsoft.com/office/officeart/2005/8/layout/hierarchy2"/>
    <dgm:cxn modelId="{B63BE368-A8AA-4B5A-B53B-5F029E2288DA}" type="presOf" srcId="{514DFECE-18FC-404D-AEBA-31A30533BCBA}" destId="{F048A8B3-1177-4F64-96CC-F2C86454262D}" srcOrd="1" destOrd="0" presId="urn:microsoft.com/office/officeart/2005/8/layout/hierarchy2"/>
    <dgm:cxn modelId="{80D4B00B-94F1-4BA9-8A7F-2CBCEDF63A82}" srcId="{82A5275F-A1F7-406F-B713-2E5F279C3667}" destId="{9724AEFC-93E8-4DE5-9067-AB7C7DD1C8A1}" srcOrd="5" destOrd="0" parTransId="{8DEE9EFD-C6C6-460A-9C6C-12D078860E8F}" sibTransId="{9929B4D6-F839-48AA-A067-89B9569DF558}"/>
    <dgm:cxn modelId="{FBF1EDCB-A70F-4F32-9E81-687C32B05354}" type="presOf" srcId="{C5D54C43-5190-43C0-9696-7980C54CFE3A}" destId="{1A1A6F0C-3CA6-48AC-8E7C-C774121A20E8}" srcOrd="1" destOrd="0" presId="urn:microsoft.com/office/officeart/2005/8/layout/hierarchy2"/>
    <dgm:cxn modelId="{9BC066DA-1BDE-493D-A995-65633B1167C0}" srcId="{13D08A5D-1E8D-4267-808D-27AF896B9F30}" destId="{761CC5BC-AAB4-44E9-85E4-6BB8889AD49B}" srcOrd="1" destOrd="0" parTransId="{E875D070-2FF4-4B9D-8604-18C03631C85F}" sibTransId="{A50A1922-A735-4262-A575-40DD7313CC9B}"/>
    <dgm:cxn modelId="{D53E1D23-CB06-4557-B758-57DD34221E35}" srcId="{761CC5BC-AAB4-44E9-85E4-6BB8889AD49B}" destId="{0831F7D8-7F8A-47BC-8186-DC8D41B52038}" srcOrd="5" destOrd="0" parTransId="{8CF5BAA9-D4BC-41B1-A494-B067ABFA1141}" sibTransId="{AF09CE5A-5B88-42AF-B6BC-6122B1C15D4D}"/>
    <dgm:cxn modelId="{A777422B-681F-4DA1-86D0-27D80B6D1518}" type="presOf" srcId="{8DEE9EFD-C6C6-460A-9C6C-12D078860E8F}" destId="{E0B5EDE8-D6B1-43F7-B96E-AB58F63E0F63}" srcOrd="0" destOrd="0" presId="urn:microsoft.com/office/officeart/2005/8/layout/hierarchy2"/>
    <dgm:cxn modelId="{6F98F3B0-8B28-41CE-802C-DE04276BB63B}" srcId="{71348313-5427-4749-BFAE-F292B4D9A505}" destId="{0A14ADF9-8240-4EB3-85DD-C2A283146E20}" srcOrd="4" destOrd="0" parTransId="{A0B7BD2C-5A98-43EE-9F47-8CB94EE2DD60}" sibTransId="{CAEFAF3F-3E71-4233-B841-475AE40441DA}"/>
    <dgm:cxn modelId="{0F9A7F50-FC1A-4959-8BA0-69DA7C7DADD9}" type="presOf" srcId="{E27C73FD-43F6-4844-B787-0011E2EB6A45}" destId="{B3D66F1C-6B83-4153-B6A9-953CB098E3A7}" srcOrd="1" destOrd="0" presId="urn:microsoft.com/office/officeart/2005/8/layout/hierarchy2"/>
    <dgm:cxn modelId="{5B3661DA-143E-4B20-AED1-2D5163A4C6A8}" type="presOf" srcId="{13201B20-5ECA-42C9-8A05-168DF0A4B8C1}" destId="{6C83BF9F-4FC0-45B3-A6FE-CB6BCB5CAF4D}" srcOrd="0" destOrd="0" presId="urn:microsoft.com/office/officeart/2005/8/layout/hierarchy2"/>
    <dgm:cxn modelId="{CEC7DA3F-2E32-43F3-A063-F23FD607804D}" type="presOf" srcId="{A0B7BD2C-5A98-43EE-9F47-8CB94EE2DD60}" destId="{9ECC5AC2-DEF4-4C40-AB96-A313F4A6C876}" srcOrd="1" destOrd="0" presId="urn:microsoft.com/office/officeart/2005/8/layout/hierarchy2"/>
    <dgm:cxn modelId="{EEC06DBE-F7FA-4D28-9761-90E2C0BBB666}" type="presOf" srcId="{D541C300-55BC-4B77-84E8-CDA08FC736CD}" destId="{25B1F19D-37E2-486E-BD37-55A81223D911}" srcOrd="0" destOrd="0" presId="urn:microsoft.com/office/officeart/2005/8/layout/hierarchy2"/>
    <dgm:cxn modelId="{036AD80B-9658-4BA1-8263-2FEF3003450C}" type="presOf" srcId="{41FD6689-9F33-4A4F-8603-AA18B86A1732}" destId="{76825CE1-92BD-484F-9193-7F22A6F7FE34}" srcOrd="0" destOrd="0" presId="urn:microsoft.com/office/officeart/2005/8/layout/hierarchy2"/>
    <dgm:cxn modelId="{D894F618-FACF-4CE5-AF20-ABF5BFE67187}" srcId="{71348313-5427-4749-BFAE-F292B4D9A505}" destId="{9F18CCEE-ABC3-4F40-BA35-D528B6C3EBF9}" srcOrd="0" destOrd="0" parTransId="{68293CCD-4B21-4476-BC6D-11F9909B47DD}" sibTransId="{9A2C1BC9-8BA7-4CC7-B6A6-F14E6C39EA7A}"/>
    <dgm:cxn modelId="{E93AE6F1-E5D9-4867-B658-E77E05CF30FC}" type="presOf" srcId="{71348313-5427-4749-BFAE-F292B4D9A505}" destId="{3AEC872E-CF57-4CBA-B67B-3A7C3ED9C03E}" srcOrd="0" destOrd="0" presId="urn:microsoft.com/office/officeart/2005/8/layout/hierarchy2"/>
    <dgm:cxn modelId="{A71FBDE9-1E51-4772-A42E-B1A40852EF92}" type="presOf" srcId="{13D08A5D-1E8D-4267-808D-27AF896B9F30}" destId="{BB5637B9-AD5A-4DF1-B0D7-20531727254E}" srcOrd="0" destOrd="0" presId="urn:microsoft.com/office/officeart/2005/8/layout/hierarchy2"/>
    <dgm:cxn modelId="{1D0DC064-F0D1-4D0D-AD58-71FB37A599FA}" srcId="{F7376214-A691-46F4-ADA8-446B8E6B6538}" destId="{89BAD40C-F9BC-4460-8022-3DE4733B9C8A}" srcOrd="0" destOrd="0" parTransId="{FFB30BFA-0A35-4B9E-AA87-ABA7988C2C7C}" sibTransId="{48A34B2E-E67A-43B0-9FD6-85E820C4E092}"/>
    <dgm:cxn modelId="{31F66CBB-EAFB-4633-94E2-1CEA10328B31}" srcId="{761CC5BC-AAB4-44E9-85E4-6BB8889AD49B}" destId="{AE1D277E-0D81-44F7-8D85-667675EBEF11}" srcOrd="2" destOrd="0" parTransId="{D925D0E8-8CDE-481B-8AE6-85A0853D9EF1}" sibTransId="{2603B764-8C9E-41C5-AA92-0079332FCFD1}"/>
    <dgm:cxn modelId="{39C1FE4F-B13A-4EC1-9FC9-31BBB7596BEE}" type="presOf" srcId="{A0B7BD2C-5A98-43EE-9F47-8CB94EE2DD60}" destId="{77B69AC8-DAAA-4156-B513-A0FB0A0576B9}" srcOrd="0" destOrd="0" presId="urn:microsoft.com/office/officeart/2005/8/layout/hierarchy2"/>
    <dgm:cxn modelId="{B96E6AD4-1FCC-4067-94E2-CA6FBFB09864}" srcId="{82A5275F-A1F7-406F-B713-2E5F279C3667}" destId="{F7376214-A691-46F4-ADA8-446B8E6B6538}" srcOrd="4" destOrd="0" parTransId="{4C3388EF-4839-483D-8117-800C3F490423}" sibTransId="{000F7AD7-423D-4687-8D5F-2DAD4E51D2EF}"/>
    <dgm:cxn modelId="{98641FC7-2D15-4C79-AB66-31F0EB5F9617}" type="presOf" srcId="{006C277B-FD22-4134-8B23-8A7CE5CDEF09}" destId="{4E6F30C4-587D-4D18-BC5B-602FD8F3D214}" srcOrd="1" destOrd="0" presId="urn:microsoft.com/office/officeart/2005/8/layout/hierarchy2"/>
    <dgm:cxn modelId="{A2C8C405-4B9D-4C74-9ADD-29E657B8EE44}" type="presOf" srcId="{8DEE9EFD-C6C6-460A-9C6C-12D078860E8F}" destId="{12E563E2-6EF2-4BF2-AC8B-8C7007A15070}" srcOrd="1" destOrd="0" presId="urn:microsoft.com/office/officeart/2005/8/layout/hierarchy2"/>
    <dgm:cxn modelId="{D906810A-B6FE-424F-ACB2-F53C080CF86D}" type="presOf" srcId="{6812DF29-D484-4824-AE89-2B3092C5D790}" destId="{C048995E-34E3-4318-BE4B-9E3F01C62F2D}" srcOrd="0" destOrd="0" presId="urn:microsoft.com/office/officeart/2005/8/layout/hierarchy2"/>
    <dgm:cxn modelId="{D810C9A5-96AC-4D42-8D0E-8AE115F066EB}" srcId="{761CC5BC-AAB4-44E9-85E4-6BB8889AD49B}" destId="{363F7C78-3B17-4409-BD31-352837B385F4}" srcOrd="3" destOrd="0" parTransId="{923B5E93-0C3C-49BA-ABC2-945B100B09A3}" sibTransId="{A9771027-CC60-4B8C-B6E8-1F25B58E4EF8}"/>
    <dgm:cxn modelId="{C7136C23-F34E-430E-9588-92025DB3D0FA}" srcId="{71348313-5427-4749-BFAE-F292B4D9A505}" destId="{5C5754F0-C16F-4D6C-8769-31757C1B8575}" srcOrd="5" destOrd="0" parTransId="{A29A2ED0-1151-468A-9105-7CC0D1EF2704}" sibTransId="{68E97992-3567-463B-A8E8-983A6597CE87}"/>
    <dgm:cxn modelId="{260F3102-21F2-4071-9395-880A2C895B5F}" type="presOf" srcId="{EE88DF8D-2FDC-4185-B714-EDA9B9AB7FAC}" destId="{A8F80129-0E58-4542-8B06-E75084BBAB95}" srcOrd="0" destOrd="0" presId="urn:microsoft.com/office/officeart/2005/8/layout/hierarchy2"/>
    <dgm:cxn modelId="{3EFEF2CD-2AE9-4F42-8E68-984C5FDDF97E}" type="presOf" srcId="{0A88B9B1-8840-4F9A-AD79-25CA7CFB6BFA}" destId="{8F1434EE-ECEB-4AB6-A5CB-B823A72EC71F}" srcOrd="0" destOrd="0" presId="urn:microsoft.com/office/officeart/2005/8/layout/hierarchy2"/>
    <dgm:cxn modelId="{962633D0-86BE-421E-B875-A383A0B3C0FB}" type="presOf" srcId="{DA406D26-BECA-4369-AB37-718339810C16}" destId="{4896DAE7-CA02-4CD6-A3D7-BB714EF7AAE5}" srcOrd="0" destOrd="0" presId="urn:microsoft.com/office/officeart/2005/8/layout/hierarchy2"/>
    <dgm:cxn modelId="{7A2D7ED0-93E5-41A4-B2D4-68DF99EB0E09}" type="presOf" srcId="{DA406D26-BECA-4369-AB37-718339810C16}" destId="{BDC76149-E28D-4EA4-AAA1-6706D3589E25}" srcOrd="1" destOrd="0" presId="urn:microsoft.com/office/officeart/2005/8/layout/hierarchy2"/>
    <dgm:cxn modelId="{AFA16F39-447D-4967-BB27-3478CC292090}" type="presOf" srcId="{E27C73FD-43F6-4844-B787-0011E2EB6A45}" destId="{FF1F79DF-8838-48C5-8284-92FE91C569CA}" srcOrd="0" destOrd="0" presId="urn:microsoft.com/office/officeart/2005/8/layout/hierarchy2"/>
    <dgm:cxn modelId="{597F8268-01BB-46F6-8A24-6F8C3078C33C}" type="presOf" srcId="{FFB30BFA-0A35-4B9E-AA87-ABA7988C2C7C}" destId="{EE5E6A15-7240-4487-A32D-40C43CB0BC7F}" srcOrd="1" destOrd="0" presId="urn:microsoft.com/office/officeart/2005/8/layout/hierarchy2"/>
    <dgm:cxn modelId="{A5F5EC37-AF68-437E-9184-87F51FE33147}" type="presOf" srcId="{154C6A6A-0C07-479D-BF35-5A5069D0CA0C}" destId="{D86F9420-7DC9-4AFC-A97B-EA211622C5E7}" srcOrd="0" destOrd="0" presId="urn:microsoft.com/office/officeart/2005/8/layout/hierarchy2"/>
    <dgm:cxn modelId="{6E54C209-F9FE-42E7-A05A-B51977F785A0}" type="presOf" srcId="{8D297A19-0F38-46F4-8DA6-17243F746680}" destId="{26EB1BB0-09D7-46FC-A570-2F684DE8AF1A}" srcOrd="0" destOrd="0" presId="urn:microsoft.com/office/officeart/2005/8/layout/hierarchy2"/>
    <dgm:cxn modelId="{C060AE33-E025-4520-98C4-DCC9D9D991B4}" srcId="{71348313-5427-4749-BFAE-F292B4D9A505}" destId="{CFBC149F-06A3-446E-A61F-918C8120BD3B}" srcOrd="3" destOrd="0" parTransId="{FE4E9C97-E62D-44C7-B309-F774C334F84E}" sibTransId="{62CB8BEC-667F-4EE7-A301-FABBA77C7C07}"/>
    <dgm:cxn modelId="{FF7914E7-D644-42BE-858D-7DE85FC2207D}" type="presOf" srcId="{815B14E8-7409-4D0D-8EAA-14ADF7D71324}" destId="{065C7D7E-00EB-4936-8BFB-8AA15EA0A361}" srcOrd="0" destOrd="0" presId="urn:microsoft.com/office/officeart/2005/8/layout/hierarchy2"/>
    <dgm:cxn modelId="{36F6364D-AA02-491C-A1DC-721F93F43C08}" type="presOf" srcId="{29AAA6F0-42AF-4C67-B95B-8C52A4F20C52}" destId="{5666F91C-7BEB-4B72-8393-CB8CC553C5C8}" srcOrd="1" destOrd="0" presId="urn:microsoft.com/office/officeart/2005/8/layout/hierarchy2"/>
    <dgm:cxn modelId="{F5389300-C97C-4EB3-87CA-E92F24E63B0B}" type="presOf" srcId="{F5E2FFEA-2EFF-49DD-B731-01F1401591BE}" destId="{78CC4E6D-FC1F-40A0-AF41-9598E33ACC69}" srcOrd="1" destOrd="0" presId="urn:microsoft.com/office/officeart/2005/8/layout/hierarchy2"/>
    <dgm:cxn modelId="{E0189EB5-76A1-4BC3-A98F-A9FC73E30FC8}" srcId="{71348313-5427-4749-BFAE-F292B4D9A505}" destId="{FACA4EEE-B782-43AB-B045-0D53A69EA0FE}" srcOrd="2" destOrd="0" parTransId="{19877201-5620-4D09-8F08-FAE4BFB26E58}" sibTransId="{8E5DE91D-4D15-40F2-8BD9-DFAFF9D330E8}"/>
    <dgm:cxn modelId="{F5C2BC05-549C-47C4-92D2-4B93082AC045}" type="presOf" srcId="{8CF5BAA9-D4BC-41B1-A494-B067ABFA1141}" destId="{350876BB-7A04-4D7A-9390-EBC46FF1103B}" srcOrd="1" destOrd="0" presId="urn:microsoft.com/office/officeart/2005/8/layout/hierarchy2"/>
    <dgm:cxn modelId="{3BE588BF-BAEE-4EB5-AABE-5FB5F785633B}" type="presOf" srcId="{0A14ADF9-8240-4EB3-85DD-C2A283146E20}" destId="{B1C1A132-5612-4CEA-A1DE-06B75311157A}" srcOrd="0" destOrd="0" presId="urn:microsoft.com/office/officeart/2005/8/layout/hierarchy2"/>
    <dgm:cxn modelId="{90BA5D5D-9F82-4394-99B9-76F618168241}" type="presOf" srcId="{6812DF29-D484-4824-AE89-2B3092C5D790}" destId="{7A918996-9259-4663-A6CC-89F1B66D5384}" srcOrd="1" destOrd="0" presId="urn:microsoft.com/office/officeart/2005/8/layout/hierarchy2"/>
    <dgm:cxn modelId="{1888635D-D24C-4F6F-9772-E3EBAB92E6E2}" type="presOf" srcId="{15CB56BB-9238-4A6D-B901-D67699685175}" destId="{EB3C08BD-8FFA-487E-AE30-C2541926896C}" srcOrd="0" destOrd="0" presId="urn:microsoft.com/office/officeart/2005/8/layout/hierarchy2"/>
    <dgm:cxn modelId="{28F67246-B250-43D1-A4A8-14534BD97188}" type="presOf" srcId="{0831F7D8-7F8A-47BC-8186-DC8D41B52038}" destId="{1BBB41D4-F1B3-4963-8E1C-E9C26CDE9C75}" srcOrd="0" destOrd="0" presId="urn:microsoft.com/office/officeart/2005/8/layout/hierarchy2"/>
    <dgm:cxn modelId="{2CEE58E9-8EF8-4ABA-80E3-994E3F1215B7}" srcId="{82A5275F-A1F7-406F-B713-2E5F279C3667}" destId="{AE1F0F04-1631-42AF-ABCE-3425E79BF783}" srcOrd="1" destOrd="0" parTransId="{F3E7D78B-73E2-42FA-9955-E458B7138E79}" sibTransId="{A3E186D0-BC4C-4A2B-B77D-FE5BEA53EA15}"/>
    <dgm:cxn modelId="{25AB648B-2B4F-43AD-B1D6-0FD70D01BE05}" type="presOf" srcId="{18CF2DDF-9365-4EAA-9494-BF321E4874E3}" destId="{DE8B67CB-5CB0-4889-840C-0FBE6AA9AACA}" srcOrd="0" destOrd="0" presId="urn:microsoft.com/office/officeart/2005/8/layout/hierarchy2"/>
    <dgm:cxn modelId="{6CC5EFD6-1328-4ED3-A7FA-56645227710D}" type="presOf" srcId="{CB0E3E3D-174B-4957-B1EE-2C0C7AA23ED9}" destId="{B7C5E2FE-1A72-4DA8-B7C8-4D453A8021FE}" srcOrd="1" destOrd="0" presId="urn:microsoft.com/office/officeart/2005/8/layout/hierarchy2"/>
    <dgm:cxn modelId="{F0665B59-70F3-40DE-8065-9F2E29676743}" srcId="{AE1D277E-0D81-44F7-8D85-667675EBEF11}" destId="{77C6CB81-1D50-450C-BA10-EC1F6FAEBBF4}" srcOrd="1" destOrd="0" parTransId="{15CB56BB-9238-4A6D-B901-D67699685175}" sibTransId="{3915F848-4F44-4C12-8C5A-174B9C4AA980}"/>
    <dgm:cxn modelId="{9278047C-2D79-427D-8A29-896AD04F1CA6}" srcId="{9724AEFC-93E8-4DE5-9067-AB7C7DD1C8A1}" destId="{815B14E8-7409-4D0D-8EAA-14ADF7D71324}" srcOrd="0" destOrd="0" parTransId="{514DFECE-18FC-404D-AEBA-31A30533BCBA}" sibTransId="{72A3C11A-C7D0-4088-85EC-B186026156D5}"/>
    <dgm:cxn modelId="{994DDEB7-0078-4E75-8199-77D0EF821724}" type="presOf" srcId="{C8443D54-2B07-4C58-BFD4-F22684F27CD9}" destId="{BA8C6BD1-3641-43C5-A644-EFC300F93DC6}" srcOrd="0" destOrd="0" presId="urn:microsoft.com/office/officeart/2005/8/layout/hierarchy2"/>
    <dgm:cxn modelId="{93634EEE-3652-4250-A2B8-1F54CF359252}" type="presOf" srcId="{D8987359-6F8E-4A42-810C-0A946A6180D8}" destId="{524239BC-2958-40D4-8853-671607DACE8B}" srcOrd="1" destOrd="0" presId="urn:microsoft.com/office/officeart/2005/8/layout/hierarchy2"/>
    <dgm:cxn modelId="{07C54C39-8F62-4543-9B7C-F57751D11094}" type="presOf" srcId="{F3E7D78B-73E2-42FA-9955-E458B7138E79}" destId="{4CA55BEE-520C-4AA4-B3AC-6759DD0F6C87}" srcOrd="1" destOrd="0" presId="urn:microsoft.com/office/officeart/2005/8/layout/hierarchy2"/>
    <dgm:cxn modelId="{C743FE0E-B114-456F-8B49-E921E774E16F}" srcId="{761CC5BC-AAB4-44E9-85E4-6BB8889AD49B}" destId="{13201B20-5ECA-42C9-8A05-168DF0A4B8C1}" srcOrd="6" destOrd="0" parTransId="{4B5F2143-0900-414D-8A43-D0FCABFADA6A}" sibTransId="{0D93A3BF-EC23-413A-AE62-E9E9B29E3707}"/>
    <dgm:cxn modelId="{2204EAF7-0C49-473D-BA26-22BA48AA68A3}" type="presOf" srcId="{8D297A19-0F38-46F4-8DA6-17243F746680}" destId="{79099B59-52CB-4025-AC2E-41024C24342F}" srcOrd="1" destOrd="0" presId="urn:microsoft.com/office/officeart/2005/8/layout/hierarchy2"/>
    <dgm:cxn modelId="{954B4C86-215D-46F6-A26E-9AF965796313}" type="presOf" srcId="{2DC50D0B-310D-40C2-B516-275575FE14D8}" destId="{4EA0C507-EC4F-41AC-85CB-797342E073FE}" srcOrd="0" destOrd="0" presId="urn:microsoft.com/office/officeart/2005/8/layout/hierarchy2"/>
    <dgm:cxn modelId="{6CEAFD65-5535-4C93-AA41-CD16AB1104EC}" type="presOf" srcId="{CDD38BF9-7009-4BCD-95D7-012BAF7E760B}" destId="{6BA51C8F-692E-4B58-9609-FCFAB36A67A0}" srcOrd="1" destOrd="0" presId="urn:microsoft.com/office/officeart/2005/8/layout/hierarchy2"/>
    <dgm:cxn modelId="{2C843806-59E1-4B14-BD45-10DFE46D0E9E}" srcId="{F7376214-A691-46F4-ADA8-446B8E6B6538}" destId="{EE88DF8D-2FDC-4185-B714-EDA9B9AB7FAC}" srcOrd="1" destOrd="0" parTransId="{F5E2FFEA-2EFF-49DD-B731-01F1401591BE}" sibTransId="{4DE12C14-1D4C-4E78-88C9-F23B467509DC}"/>
    <dgm:cxn modelId="{B6643A16-B528-41A6-B166-ABF87B70C8D1}" srcId="{F7376214-A691-46F4-ADA8-446B8E6B6538}" destId="{05859CB5-F0B3-49D6-BC7D-D4558C5EBB27}" srcOrd="4" destOrd="0" parTransId="{80CAEC47-4D41-4E72-8B22-4E40EE098994}" sibTransId="{8AF7DBDF-A993-4249-86B0-BC3704C930F9}"/>
    <dgm:cxn modelId="{93CAEBA0-B9A8-431F-8108-293EE99A7B7F}" type="presOf" srcId="{8CF501BB-EA8C-4A5E-91EE-698268077429}" destId="{9D20A1FE-273A-4602-A277-C50020FF8774}" srcOrd="0" destOrd="0" presId="urn:microsoft.com/office/officeart/2005/8/layout/hierarchy2"/>
    <dgm:cxn modelId="{B871378B-49CE-48DD-B8FF-16C08298CBDE}" type="presOf" srcId="{AE1D277E-0D81-44F7-8D85-667675EBEF11}" destId="{EBC341C4-B152-4FDC-90DC-DEB9D5232F1C}" srcOrd="0" destOrd="0" presId="urn:microsoft.com/office/officeart/2005/8/layout/hierarchy2"/>
    <dgm:cxn modelId="{19AA8145-79EE-455A-8BEB-88ECC600B096}" type="presOf" srcId="{68293CCD-4B21-4476-BC6D-11F9909B47DD}" destId="{9E2D68B8-1ADD-43A2-AC26-E866773F224B}" srcOrd="1" destOrd="0" presId="urn:microsoft.com/office/officeart/2005/8/layout/hierarchy2"/>
    <dgm:cxn modelId="{1CD89995-A4C6-4088-B4B9-8104E4122C1F}" type="presOf" srcId="{19877201-5620-4D09-8F08-FAE4BFB26E58}" destId="{B706D8D7-5AB3-4B22-9B01-3CE937E9FB0F}" srcOrd="1" destOrd="0" presId="urn:microsoft.com/office/officeart/2005/8/layout/hierarchy2"/>
    <dgm:cxn modelId="{04CEFADB-5C93-4DFF-9C0B-380BEF5F8BC5}" srcId="{3D63419E-AF85-4812-A24A-B69B3EE7C2FE}" destId="{13D08A5D-1E8D-4267-808D-27AF896B9F30}" srcOrd="0" destOrd="0" parTransId="{AB0F2022-71F7-4ABD-9866-39EF3ACD1AF0}" sibTransId="{AC026A44-6603-4A8E-B811-7D59BDE54C6E}"/>
    <dgm:cxn modelId="{3CC8F859-327B-4B01-8661-ED776CE7043B}" type="presOf" srcId="{8CF5BAA9-D4BC-41B1-A494-B067ABFA1141}" destId="{E63256BC-891C-479A-BB09-95EA6E35B16F}" srcOrd="0" destOrd="0" presId="urn:microsoft.com/office/officeart/2005/8/layout/hierarchy2"/>
    <dgm:cxn modelId="{61DA3A74-0054-4DF0-AB43-620FC27C36FA}" type="presOf" srcId="{68293CCD-4B21-4476-BC6D-11F9909B47DD}" destId="{E3731F81-E408-4E1C-A482-BF817C07B0D5}" srcOrd="0" destOrd="0" presId="urn:microsoft.com/office/officeart/2005/8/layout/hierarchy2"/>
    <dgm:cxn modelId="{14A01D35-019F-43FD-B1B0-43748C7B9721}" type="presOf" srcId="{D925D0E8-8CDE-481B-8AE6-85A0853D9EF1}" destId="{3AFA85F1-AF44-4DF4-8F03-F2F851D33419}" srcOrd="0" destOrd="0" presId="urn:microsoft.com/office/officeart/2005/8/layout/hierarchy2"/>
    <dgm:cxn modelId="{63ABB8CD-43A4-47EE-B499-81D61A34AA32}" type="presOf" srcId="{977E46F2-A718-4A69-9B6C-F6E6741677ED}" destId="{6ABBA769-A237-496B-B6DC-5B06372CF4E3}" srcOrd="0" destOrd="0" presId="urn:microsoft.com/office/officeart/2005/8/layout/hierarchy2"/>
    <dgm:cxn modelId="{E2A2E857-EE9A-42D8-B274-ED02204A0548}" type="presOf" srcId="{8CF501BB-EA8C-4A5E-91EE-698268077429}" destId="{7C2031DF-CA55-4D35-AC23-BD26EC0AC54D}" srcOrd="1" destOrd="0" presId="urn:microsoft.com/office/officeart/2005/8/layout/hierarchy2"/>
    <dgm:cxn modelId="{B47F1AAF-88E3-4CEF-868A-60C4339EA267}" type="presOf" srcId="{91F2D88E-974E-46D3-B998-544DF69D109E}" destId="{EA1DD345-2154-4455-B71C-8589A9B798B8}" srcOrd="0" destOrd="0" presId="urn:microsoft.com/office/officeart/2005/8/layout/hierarchy2"/>
    <dgm:cxn modelId="{855AC16C-642C-4681-BB2C-01A29C8F6807}" type="presOf" srcId="{A29A2ED0-1151-468A-9105-7CC0D1EF2704}" destId="{0E16C11A-5CA9-4F6F-AE05-7011CAB18C37}" srcOrd="0" destOrd="0" presId="urn:microsoft.com/office/officeart/2005/8/layout/hierarchy2"/>
    <dgm:cxn modelId="{97E4D91F-49BA-4AA6-AD1E-DF428B12F123}" type="presOf" srcId="{4B5F2143-0900-414D-8A43-D0FCABFADA6A}" destId="{07BB44AD-5DA9-4724-90A0-ED9ADFCD0149}" srcOrd="1" destOrd="0" presId="urn:microsoft.com/office/officeart/2005/8/layout/hierarchy2"/>
    <dgm:cxn modelId="{A18F595C-BEA0-459A-9DE5-3B3763C287EA}" type="presOf" srcId="{154C6A6A-0C07-479D-BF35-5A5069D0CA0C}" destId="{29915848-1C03-4C82-B00C-70CFDD86F225}" srcOrd="1" destOrd="0" presId="urn:microsoft.com/office/officeart/2005/8/layout/hierarchy2"/>
    <dgm:cxn modelId="{1B00B972-B31E-4F23-8B39-28C38A7DDF94}" type="presOf" srcId="{AE1F0F04-1631-42AF-ABCE-3425E79BF783}" destId="{1B35BE22-2F04-46C2-BE03-C38E6B4A18D2}" srcOrd="0" destOrd="0" presId="urn:microsoft.com/office/officeart/2005/8/layout/hierarchy2"/>
    <dgm:cxn modelId="{538E1AD7-4B5D-4B14-94A4-D9AD088206AA}" srcId="{761CC5BC-AAB4-44E9-85E4-6BB8889AD49B}" destId="{2DC50D0B-310D-40C2-B516-275575FE14D8}" srcOrd="4" destOrd="0" parTransId="{CB0E3E3D-174B-4957-B1EE-2C0C7AA23ED9}" sibTransId="{BC3E66CE-A271-4843-9497-052169B0E36D}"/>
    <dgm:cxn modelId="{F4043830-B5EC-4C18-822A-26C73B0B04DF}" type="presParOf" srcId="{90053632-2939-4918-86BF-39FC82CC8D75}" destId="{0475EED3-FBCB-4675-8D4A-89951E4B34EA}" srcOrd="0" destOrd="0" presId="urn:microsoft.com/office/officeart/2005/8/layout/hierarchy2"/>
    <dgm:cxn modelId="{9876C56D-5EC0-47DB-93C8-14CFB3F104E5}" type="presParOf" srcId="{0475EED3-FBCB-4675-8D4A-89951E4B34EA}" destId="{BB5637B9-AD5A-4DF1-B0D7-20531727254E}" srcOrd="0" destOrd="0" presId="urn:microsoft.com/office/officeart/2005/8/layout/hierarchy2"/>
    <dgm:cxn modelId="{27C428E8-25A4-4AC0-B325-31A99E73DD4E}" type="presParOf" srcId="{0475EED3-FBCB-4675-8D4A-89951E4B34EA}" destId="{752EF29A-3AB6-4D6B-942C-2E015EC79366}" srcOrd="1" destOrd="0" presId="urn:microsoft.com/office/officeart/2005/8/layout/hierarchy2"/>
    <dgm:cxn modelId="{E6209CE6-E678-4413-8346-BCB47C4D56A9}" type="presParOf" srcId="{752EF29A-3AB6-4D6B-942C-2E015EC79366}" destId="{9D20A1FE-273A-4602-A277-C50020FF8774}" srcOrd="0" destOrd="0" presId="urn:microsoft.com/office/officeart/2005/8/layout/hierarchy2"/>
    <dgm:cxn modelId="{4869FB75-C945-48F6-B663-5F277EDCC477}" type="presParOf" srcId="{9D20A1FE-273A-4602-A277-C50020FF8774}" destId="{7C2031DF-CA55-4D35-AC23-BD26EC0AC54D}" srcOrd="0" destOrd="0" presId="urn:microsoft.com/office/officeart/2005/8/layout/hierarchy2"/>
    <dgm:cxn modelId="{347D61BF-A39C-4974-84E1-971AB9EA5934}" type="presParOf" srcId="{752EF29A-3AB6-4D6B-942C-2E015EC79366}" destId="{D98B630A-B347-470D-B7D1-1DECA3493165}" srcOrd="1" destOrd="0" presId="urn:microsoft.com/office/officeart/2005/8/layout/hierarchy2"/>
    <dgm:cxn modelId="{6F57511B-81FF-4E85-8B6F-23FD0C7E73F5}" type="presParOf" srcId="{D98B630A-B347-470D-B7D1-1DECA3493165}" destId="{4A92D06A-4F25-4323-AC01-789A2832BE3E}" srcOrd="0" destOrd="0" presId="urn:microsoft.com/office/officeart/2005/8/layout/hierarchy2"/>
    <dgm:cxn modelId="{E9F43224-4675-4B3A-9CA5-95093F1D12EA}" type="presParOf" srcId="{D98B630A-B347-470D-B7D1-1DECA3493165}" destId="{A86D9FEA-30B4-4E02-940E-1A8E8FF25315}" srcOrd="1" destOrd="0" presId="urn:microsoft.com/office/officeart/2005/8/layout/hierarchy2"/>
    <dgm:cxn modelId="{3A9B00D1-7FD4-4302-8D51-AF8C12C2FF36}" type="presParOf" srcId="{A86D9FEA-30B4-4E02-940E-1A8E8FF25315}" destId="{4896DAE7-CA02-4CD6-A3D7-BB714EF7AAE5}" srcOrd="0" destOrd="0" presId="urn:microsoft.com/office/officeart/2005/8/layout/hierarchy2"/>
    <dgm:cxn modelId="{7AFF82AB-21EB-49AF-9DEC-9D2E1926EAD9}" type="presParOf" srcId="{4896DAE7-CA02-4CD6-A3D7-BB714EF7AAE5}" destId="{BDC76149-E28D-4EA4-AAA1-6706D3589E25}" srcOrd="0" destOrd="0" presId="urn:microsoft.com/office/officeart/2005/8/layout/hierarchy2"/>
    <dgm:cxn modelId="{8D8EEF7D-5ECE-4E0C-802A-38EF4DA6AD39}" type="presParOf" srcId="{A86D9FEA-30B4-4E02-940E-1A8E8FF25315}" destId="{780F99F3-8869-4881-A3BE-14A4113A1690}" srcOrd="1" destOrd="0" presId="urn:microsoft.com/office/officeart/2005/8/layout/hierarchy2"/>
    <dgm:cxn modelId="{34982017-C795-4A08-B950-7DC436C22748}" type="presParOf" srcId="{780F99F3-8869-4881-A3BE-14A4113A1690}" destId="{4B609013-FE7C-41B2-B0D0-4017D8381C7E}" srcOrd="0" destOrd="0" presId="urn:microsoft.com/office/officeart/2005/8/layout/hierarchy2"/>
    <dgm:cxn modelId="{D90EDC06-F2FE-45D5-92F2-92385F9B1E2E}" type="presParOf" srcId="{780F99F3-8869-4881-A3BE-14A4113A1690}" destId="{495329F4-7F7F-4A7B-ADD5-94C99CCC0F12}" srcOrd="1" destOrd="0" presId="urn:microsoft.com/office/officeart/2005/8/layout/hierarchy2"/>
    <dgm:cxn modelId="{440E6A5C-8B59-4680-BA6B-575463470994}" type="presParOf" srcId="{A86D9FEA-30B4-4E02-940E-1A8E8FF25315}" destId="{2E259732-4D4A-45B9-9BAB-75AFDB70EF34}" srcOrd="2" destOrd="0" presId="urn:microsoft.com/office/officeart/2005/8/layout/hierarchy2"/>
    <dgm:cxn modelId="{6D80C7E4-F91B-4530-91BD-4BCB0EFE1B7A}" type="presParOf" srcId="{2E259732-4D4A-45B9-9BAB-75AFDB70EF34}" destId="{4CA55BEE-520C-4AA4-B3AC-6759DD0F6C87}" srcOrd="0" destOrd="0" presId="urn:microsoft.com/office/officeart/2005/8/layout/hierarchy2"/>
    <dgm:cxn modelId="{C29BA3C5-1898-4998-B4A8-070520BE56B5}" type="presParOf" srcId="{A86D9FEA-30B4-4E02-940E-1A8E8FF25315}" destId="{0881B2C7-BB5A-43B5-BA69-A5D6EACC59D1}" srcOrd="3" destOrd="0" presId="urn:microsoft.com/office/officeart/2005/8/layout/hierarchy2"/>
    <dgm:cxn modelId="{4C5877CE-5C2B-431D-B5F7-7F07F355E041}" type="presParOf" srcId="{0881B2C7-BB5A-43B5-BA69-A5D6EACC59D1}" destId="{1B35BE22-2F04-46C2-BE03-C38E6B4A18D2}" srcOrd="0" destOrd="0" presId="urn:microsoft.com/office/officeart/2005/8/layout/hierarchy2"/>
    <dgm:cxn modelId="{10FA9D1A-92B7-4727-A12A-67AD70ACC084}" type="presParOf" srcId="{0881B2C7-BB5A-43B5-BA69-A5D6EACC59D1}" destId="{839A44F2-4135-4054-801B-4D6C7EDE239C}" srcOrd="1" destOrd="0" presId="urn:microsoft.com/office/officeart/2005/8/layout/hierarchy2"/>
    <dgm:cxn modelId="{68902BA9-09DB-4B7B-B1F4-1161188BC820}" type="presParOf" srcId="{A86D9FEA-30B4-4E02-940E-1A8E8FF25315}" destId="{0C0B1B24-32B6-4A1A-AEB3-5FD057FAE234}" srcOrd="4" destOrd="0" presId="urn:microsoft.com/office/officeart/2005/8/layout/hierarchy2"/>
    <dgm:cxn modelId="{21B7EC3C-C9D7-42C8-9F12-C93A31AE4D96}" type="presParOf" srcId="{0C0B1B24-32B6-4A1A-AEB3-5FD057FAE234}" destId="{B4D986C1-9722-47AD-B205-09A37D059787}" srcOrd="0" destOrd="0" presId="urn:microsoft.com/office/officeart/2005/8/layout/hierarchy2"/>
    <dgm:cxn modelId="{F7771CD8-0390-4DD1-B4ED-82A72865EE82}" type="presParOf" srcId="{A86D9FEA-30B4-4E02-940E-1A8E8FF25315}" destId="{22C8BCD9-EA6B-4F99-882A-B836DFB25FF6}" srcOrd="5" destOrd="0" presId="urn:microsoft.com/office/officeart/2005/8/layout/hierarchy2"/>
    <dgm:cxn modelId="{D73FC20E-EE15-4AD0-B861-598235BB142C}" type="presParOf" srcId="{22C8BCD9-EA6B-4F99-882A-B836DFB25FF6}" destId="{76825CE1-92BD-484F-9193-7F22A6F7FE34}" srcOrd="0" destOrd="0" presId="urn:microsoft.com/office/officeart/2005/8/layout/hierarchy2"/>
    <dgm:cxn modelId="{06C5FEBD-E9B9-4FDF-8118-3281C573DE20}" type="presParOf" srcId="{22C8BCD9-EA6B-4F99-882A-B836DFB25FF6}" destId="{6F89FB50-2A46-40CC-8766-F6180FB23436}" srcOrd="1" destOrd="0" presId="urn:microsoft.com/office/officeart/2005/8/layout/hierarchy2"/>
    <dgm:cxn modelId="{953FF9D1-ADAF-4CA0-99CA-D60F011814B0}" type="presParOf" srcId="{A86D9FEA-30B4-4E02-940E-1A8E8FF25315}" destId="{AC9ACBFE-11B0-48A5-8991-E653A44146FA}" srcOrd="6" destOrd="0" presId="urn:microsoft.com/office/officeart/2005/8/layout/hierarchy2"/>
    <dgm:cxn modelId="{A8DC81F3-2284-4FF2-BEEA-D8E5AA05A96C}" type="presParOf" srcId="{AC9ACBFE-11B0-48A5-8991-E653A44146FA}" destId="{CBFAB40B-5683-4F2D-A030-17372AF3A63D}" srcOrd="0" destOrd="0" presId="urn:microsoft.com/office/officeart/2005/8/layout/hierarchy2"/>
    <dgm:cxn modelId="{C6FB6F3F-B2D8-4BEB-B84D-19CC8013EC76}" type="presParOf" srcId="{A86D9FEA-30B4-4E02-940E-1A8E8FF25315}" destId="{609AE158-2453-4228-B1B0-FC72A62532DB}" srcOrd="7" destOrd="0" presId="urn:microsoft.com/office/officeart/2005/8/layout/hierarchy2"/>
    <dgm:cxn modelId="{B264D124-48C5-4BC4-9DA6-69D48C16481B}" type="presParOf" srcId="{609AE158-2453-4228-B1B0-FC72A62532DB}" destId="{DE8B67CB-5CB0-4889-840C-0FBE6AA9AACA}" srcOrd="0" destOrd="0" presId="urn:microsoft.com/office/officeart/2005/8/layout/hierarchy2"/>
    <dgm:cxn modelId="{178A159D-0270-4356-89A9-E3647D477FA7}" type="presParOf" srcId="{609AE158-2453-4228-B1B0-FC72A62532DB}" destId="{DC0FDAD4-B703-4F8B-9437-7428A3648C9B}" srcOrd="1" destOrd="0" presId="urn:microsoft.com/office/officeart/2005/8/layout/hierarchy2"/>
    <dgm:cxn modelId="{E62D3B86-3567-4F32-97EC-9261A8652A73}" type="presParOf" srcId="{A86D9FEA-30B4-4E02-940E-1A8E8FF25315}" destId="{D89D0FAC-93CE-4E83-8F6E-E619B382ED37}" srcOrd="8" destOrd="0" presId="urn:microsoft.com/office/officeart/2005/8/layout/hierarchy2"/>
    <dgm:cxn modelId="{0F50EE8C-0102-4C28-BF8F-696838210F81}" type="presParOf" srcId="{D89D0FAC-93CE-4E83-8F6E-E619B382ED37}" destId="{667DBAFB-17B2-47E3-8B7B-1A420FF87C9E}" srcOrd="0" destOrd="0" presId="urn:microsoft.com/office/officeart/2005/8/layout/hierarchy2"/>
    <dgm:cxn modelId="{0766AC8B-6557-49D5-81B5-AB8A21E65F34}" type="presParOf" srcId="{A86D9FEA-30B4-4E02-940E-1A8E8FF25315}" destId="{D1C1BA65-917E-4F13-AD1C-0F488EE0EE8D}" srcOrd="9" destOrd="0" presId="urn:microsoft.com/office/officeart/2005/8/layout/hierarchy2"/>
    <dgm:cxn modelId="{68AA4723-2331-41EC-9295-9A964D6719CC}" type="presParOf" srcId="{D1C1BA65-917E-4F13-AD1C-0F488EE0EE8D}" destId="{F00660F1-6F38-4D54-9BC9-19D75E9F374B}" srcOrd="0" destOrd="0" presId="urn:microsoft.com/office/officeart/2005/8/layout/hierarchy2"/>
    <dgm:cxn modelId="{CFA601D0-BB78-4815-A824-C60F09A63207}" type="presParOf" srcId="{D1C1BA65-917E-4F13-AD1C-0F488EE0EE8D}" destId="{CF4CD19D-6A1F-4AB9-9DD6-EA8474D2FAED}" srcOrd="1" destOrd="0" presId="urn:microsoft.com/office/officeart/2005/8/layout/hierarchy2"/>
    <dgm:cxn modelId="{E6931577-DCDC-4647-908D-957E59615C32}" type="presParOf" srcId="{CF4CD19D-6A1F-4AB9-9DD6-EA8474D2FAED}" destId="{E6CD0E54-4C27-4653-B74F-A7AACD0F2C83}" srcOrd="0" destOrd="0" presId="urn:microsoft.com/office/officeart/2005/8/layout/hierarchy2"/>
    <dgm:cxn modelId="{D2C6F29E-D53B-4142-BAA4-E384B07E3AE1}" type="presParOf" srcId="{E6CD0E54-4C27-4653-B74F-A7AACD0F2C83}" destId="{EE5E6A15-7240-4487-A32D-40C43CB0BC7F}" srcOrd="0" destOrd="0" presId="urn:microsoft.com/office/officeart/2005/8/layout/hierarchy2"/>
    <dgm:cxn modelId="{002ECC6B-6A1D-4796-BA94-560225F5F452}" type="presParOf" srcId="{CF4CD19D-6A1F-4AB9-9DD6-EA8474D2FAED}" destId="{FB15E980-518D-494D-99FF-71716EA7897C}" srcOrd="1" destOrd="0" presId="urn:microsoft.com/office/officeart/2005/8/layout/hierarchy2"/>
    <dgm:cxn modelId="{9ED925DF-8661-4766-930D-64B62B67D30D}" type="presParOf" srcId="{FB15E980-518D-494D-99FF-71716EA7897C}" destId="{DC64718A-BBE3-499D-AFDD-BDBEEB490DBE}" srcOrd="0" destOrd="0" presId="urn:microsoft.com/office/officeart/2005/8/layout/hierarchy2"/>
    <dgm:cxn modelId="{2D3045FC-A957-4B43-BB48-D4BCD688B0BE}" type="presParOf" srcId="{FB15E980-518D-494D-99FF-71716EA7897C}" destId="{F2F22619-0DCC-444B-8360-271FCE0C39B8}" srcOrd="1" destOrd="0" presId="urn:microsoft.com/office/officeart/2005/8/layout/hierarchy2"/>
    <dgm:cxn modelId="{826844AC-71D8-479D-8700-33DFFCE0131F}" type="presParOf" srcId="{CF4CD19D-6A1F-4AB9-9DD6-EA8474D2FAED}" destId="{B6389B8A-E724-46AA-AECB-FE26D88A4F51}" srcOrd="2" destOrd="0" presId="urn:microsoft.com/office/officeart/2005/8/layout/hierarchy2"/>
    <dgm:cxn modelId="{17A3B5D1-09A2-47EC-B44D-FA1608BFBB00}" type="presParOf" srcId="{B6389B8A-E724-46AA-AECB-FE26D88A4F51}" destId="{78CC4E6D-FC1F-40A0-AF41-9598E33ACC69}" srcOrd="0" destOrd="0" presId="urn:microsoft.com/office/officeart/2005/8/layout/hierarchy2"/>
    <dgm:cxn modelId="{B5FCFCA1-21F4-4811-94E3-4A2FFCEDD7BC}" type="presParOf" srcId="{CF4CD19D-6A1F-4AB9-9DD6-EA8474D2FAED}" destId="{B1DD5F8E-5C18-439F-85C6-DDEC9541B1C3}" srcOrd="3" destOrd="0" presId="urn:microsoft.com/office/officeart/2005/8/layout/hierarchy2"/>
    <dgm:cxn modelId="{F6C8265B-ED3C-4FF5-9EF7-107894744544}" type="presParOf" srcId="{B1DD5F8E-5C18-439F-85C6-DDEC9541B1C3}" destId="{A8F80129-0E58-4542-8B06-E75084BBAB95}" srcOrd="0" destOrd="0" presId="urn:microsoft.com/office/officeart/2005/8/layout/hierarchy2"/>
    <dgm:cxn modelId="{03F46B9C-FD47-4F5E-BF32-C4ACA812E6EE}" type="presParOf" srcId="{B1DD5F8E-5C18-439F-85C6-DDEC9541B1C3}" destId="{50590A00-8C52-447D-AD02-C38CAD8D7F89}" srcOrd="1" destOrd="0" presId="urn:microsoft.com/office/officeart/2005/8/layout/hierarchy2"/>
    <dgm:cxn modelId="{8B909BDA-583E-4260-9CCF-BA16C9CCFD6F}" type="presParOf" srcId="{CF4CD19D-6A1F-4AB9-9DD6-EA8474D2FAED}" destId="{CAFE1ABB-C4AB-4911-9B91-620A848B5AA4}" srcOrd="4" destOrd="0" presId="urn:microsoft.com/office/officeart/2005/8/layout/hierarchy2"/>
    <dgm:cxn modelId="{1A62FFB4-1499-469B-A38A-D7C3D9E433D8}" type="presParOf" srcId="{CAFE1ABB-C4AB-4911-9B91-620A848B5AA4}" destId="{2A816277-34F0-4EB8-AF76-6E3D7D0A1057}" srcOrd="0" destOrd="0" presId="urn:microsoft.com/office/officeart/2005/8/layout/hierarchy2"/>
    <dgm:cxn modelId="{54A06457-037C-4509-83A4-212B2534739D}" type="presParOf" srcId="{CF4CD19D-6A1F-4AB9-9DD6-EA8474D2FAED}" destId="{63DA9FBE-5E11-4EC8-B500-D380A5043B3E}" srcOrd="5" destOrd="0" presId="urn:microsoft.com/office/officeart/2005/8/layout/hierarchy2"/>
    <dgm:cxn modelId="{F79370FF-6759-4D20-B910-B381551CA65A}" type="presParOf" srcId="{63DA9FBE-5E11-4EC8-B500-D380A5043B3E}" destId="{EA1DD345-2154-4455-B71C-8589A9B798B8}" srcOrd="0" destOrd="0" presId="urn:microsoft.com/office/officeart/2005/8/layout/hierarchy2"/>
    <dgm:cxn modelId="{B6C2D4CD-E0ED-4B16-9DDA-EFDDB11770C3}" type="presParOf" srcId="{63DA9FBE-5E11-4EC8-B500-D380A5043B3E}" destId="{40B3EA42-C1E1-498E-8895-47154025FA4D}" srcOrd="1" destOrd="0" presId="urn:microsoft.com/office/officeart/2005/8/layout/hierarchy2"/>
    <dgm:cxn modelId="{DE149755-6F30-4615-B777-AF3CEE6DC633}" type="presParOf" srcId="{CF4CD19D-6A1F-4AB9-9DD6-EA8474D2FAED}" destId="{FF1F79DF-8838-48C5-8284-92FE91C569CA}" srcOrd="6" destOrd="0" presId="urn:microsoft.com/office/officeart/2005/8/layout/hierarchy2"/>
    <dgm:cxn modelId="{A9596507-8711-41D5-B320-B07BDE84D8AD}" type="presParOf" srcId="{FF1F79DF-8838-48C5-8284-92FE91C569CA}" destId="{B3D66F1C-6B83-4153-B6A9-953CB098E3A7}" srcOrd="0" destOrd="0" presId="urn:microsoft.com/office/officeart/2005/8/layout/hierarchy2"/>
    <dgm:cxn modelId="{E98052C1-4D21-46D0-B5BD-1EA5E099E517}" type="presParOf" srcId="{CF4CD19D-6A1F-4AB9-9DD6-EA8474D2FAED}" destId="{E9A1A6E9-F1A4-4997-A10E-2D3042DB30A8}" srcOrd="7" destOrd="0" presId="urn:microsoft.com/office/officeart/2005/8/layout/hierarchy2"/>
    <dgm:cxn modelId="{39A79BE8-B019-4F3B-9DBA-B2360523B230}" type="presParOf" srcId="{E9A1A6E9-F1A4-4997-A10E-2D3042DB30A8}" destId="{8F1434EE-ECEB-4AB6-A5CB-B823A72EC71F}" srcOrd="0" destOrd="0" presId="urn:microsoft.com/office/officeart/2005/8/layout/hierarchy2"/>
    <dgm:cxn modelId="{79D08B89-18F2-4038-93FA-2868AAB542FB}" type="presParOf" srcId="{E9A1A6E9-F1A4-4997-A10E-2D3042DB30A8}" destId="{3FB297D7-005A-4C67-93C3-F7517F72ED93}" srcOrd="1" destOrd="0" presId="urn:microsoft.com/office/officeart/2005/8/layout/hierarchy2"/>
    <dgm:cxn modelId="{E4DC90EA-660B-4FBB-97B4-B1F259EFA7D9}" type="presParOf" srcId="{CF4CD19D-6A1F-4AB9-9DD6-EA8474D2FAED}" destId="{BDCF1001-503C-4A12-9480-65B2B61EC0E5}" srcOrd="8" destOrd="0" presId="urn:microsoft.com/office/officeart/2005/8/layout/hierarchy2"/>
    <dgm:cxn modelId="{940E5D3A-81AE-4B29-8B4D-3895B47D62A8}" type="presParOf" srcId="{BDCF1001-503C-4A12-9480-65B2B61EC0E5}" destId="{4BF0104B-2CF6-4FDD-819B-CC420B37C6C0}" srcOrd="0" destOrd="0" presId="urn:microsoft.com/office/officeart/2005/8/layout/hierarchy2"/>
    <dgm:cxn modelId="{DC51E53B-E1ED-4EF3-B5C8-53AAFD3DACF6}" type="presParOf" srcId="{CF4CD19D-6A1F-4AB9-9DD6-EA8474D2FAED}" destId="{366F4709-764F-4BBB-BC2B-7FACDF33A036}" srcOrd="9" destOrd="0" presId="urn:microsoft.com/office/officeart/2005/8/layout/hierarchy2"/>
    <dgm:cxn modelId="{3FD260C2-BA0F-4388-A86D-5707CDBB823D}" type="presParOf" srcId="{366F4709-764F-4BBB-BC2B-7FACDF33A036}" destId="{693D7B28-56BA-4A57-A292-6D1C38711570}" srcOrd="0" destOrd="0" presId="urn:microsoft.com/office/officeart/2005/8/layout/hierarchy2"/>
    <dgm:cxn modelId="{0230ED7D-5E3D-4955-98DE-BB9D0302F75D}" type="presParOf" srcId="{366F4709-764F-4BBB-BC2B-7FACDF33A036}" destId="{89E2C3F2-C362-4D2B-9D53-42C24A8D6286}" srcOrd="1" destOrd="0" presId="urn:microsoft.com/office/officeart/2005/8/layout/hierarchy2"/>
    <dgm:cxn modelId="{4681CA20-63CB-40CB-89EF-4A31D440DB55}" type="presParOf" srcId="{CF4CD19D-6A1F-4AB9-9DD6-EA8474D2FAED}" destId="{D86F9420-7DC9-4AFC-A97B-EA211622C5E7}" srcOrd="10" destOrd="0" presId="urn:microsoft.com/office/officeart/2005/8/layout/hierarchy2"/>
    <dgm:cxn modelId="{637E9361-4F95-4FCF-B239-A8ACCD156836}" type="presParOf" srcId="{D86F9420-7DC9-4AFC-A97B-EA211622C5E7}" destId="{29915848-1C03-4C82-B00C-70CFDD86F225}" srcOrd="0" destOrd="0" presId="urn:microsoft.com/office/officeart/2005/8/layout/hierarchy2"/>
    <dgm:cxn modelId="{021936E0-BBD9-4B84-9DAE-AF6B7D409BFD}" type="presParOf" srcId="{CF4CD19D-6A1F-4AB9-9DD6-EA8474D2FAED}" destId="{11C298C0-DCBA-456A-8FFD-5B45E3FE1AD3}" srcOrd="11" destOrd="0" presId="urn:microsoft.com/office/officeart/2005/8/layout/hierarchy2"/>
    <dgm:cxn modelId="{B73EF7E1-9AC5-404A-AE48-7861FCDB57C6}" type="presParOf" srcId="{11C298C0-DCBA-456A-8FFD-5B45E3FE1AD3}" destId="{0F613EA8-A02E-4F7F-BBD0-C52132ED4386}" srcOrd="0" destOrd="0" presId="urn:microsoft.com/office/officeart/2005/8/layout/hierarchy2"/>
    <dgm:cxn modelId="{6F9F8F25-20D0-42DF-BE59-FB6204AAF273}" type="presParOf" srcId="{11C298C0-DCBA-456A-8FFD-5B45E3FE1AD3}" destId="{4693DB9B-47EF-4A99-9139-F7525B6A1538}" srcOrd="1" destOrd="0" presId="urn:microsoft.com/office/officeart/2005/8/layout/hierarchy2"/>
    <dgm:cxn modelId="{508344F7-D7E9-42FE-86B6-561D3CDD6946}" type="presParOf" srcId="{A86D9FEA-30B4-4E02-940E-1A8E8FF25315}" destId="{E0B5EDE8-D6B1-43F7-B96E-AB58F63E0F63}" srcOrd="10" destOrd="0" presId="urn:microsoft.com/office/officeart/2005/8/layout/hierarchy2"/>
    <dgm:cxn modelId="{E7078C37-B2F2-4449-8F8D-BAF4E2B3965D}" type="presParOf" srcId="{E0B5EDE8-D6B1-43F7-B96E-AB58F63E0F63}" destId="{12E563E2-6EF2-4BF2-AC8B-8C7007A15070}" srcOrd="0" destOrd="0" presId="urn:microsoft.com/office/officeart/2005/8/layout/hierarchy2"/>
    <dgm:cxn modelId="{5D599ECB-5422-48F9-9AB7-5508CD4F73BA}" type="presParOf" srcId="{A86D9FEA-30B4-4E02-940E-1A8E8FF25315}" destId="{EDD80FB6-F9D8-4570-8F78-A313EE5A7196}" srcOrd="11" destOrd="0" presId="urn:microsoft.com/office/officeart/2005/8/layout/hierarchy2"/>
    <dgm:cxn modelId="{92524477-5E11-4750-8B86-30C30C530EC7}" type="presParOf" srcId="{EDD80FB6-F9D8-4570-8F78-A313EE5A7196}" destId="{44FBA2CD-E84F-4527-8E68-7EE89F81703E}" srcOrd="0" destOrd="0" presId="urn:microsoft.com/office/officeart/2005/8/layout/hierarchy2"/>
    <dgm:cxn modelId="{00C17605-7B3D-487B-829E-134E3C6BD714}" type="presParOf" srcId="{EDD80FB6-F9D8-4570-8F78-A313EE5A7196}" destId="{68379B47-8081-4F5B-BA3F-02196C223B0A}" srcOrd="1" destOrd="0" presId="urn:microsoft.com/office/officeart/2005/8/layout/hierarchy2"/>
    <dgm:cxn modelId="{A2DA2772-ECAC-4BD1-A472-1B6182CE883F}" type="presParOf" srcId="{68379B47-8081-4F5B-BA3F-02196C223B0A}" destId="{69866E97-9649-4131-B0B3-F7CA9B612189}" srcOrd="0" destOrd="0" presId="urn:microsoft.com/office/officeart/2005/8/layout/hierarchy2"/>
    <dgm:cxn modelId="{97CFA5B7-AE1E-4AF4-AA5D-A29D2642263B}" type="presParOf" srcId="{69866E97-9649-4131-B0B3-F7CA9B612189}" destId="{F048A8B3-1177-4F64-96CC-F2C86454262D}" srcOrd="0" destOrd="0" presId="urn:microsoft.com/office/officeart/2005/8/layout/hierarchy2"/>
    <dgm:cxn modelId="{89CDD13A-1E76-436E-A4FD-726B0F2E37A5}" type="presParOf" srcId="{68379B47-8081-4F5B-BA3F-02196C223B0A}" destId="{58D68F11-F398-45D0-96DA-DE4E77FB97A1}" srcOrd="1" destOrd="0" presId="urn:microsoft.com/office/officeart/2005/8/layout/hierarchy2"/>
    <dgm:cxn modelId="{47247535-E8EA-4EEF-98D2-F3A79099385C}" type="presParOf" srcId="{58D68F11-F398-45D0-96DA-DE4E77FB97A1}" destId="{065C7D7E-00EB-4936-8BFB-8AA15EA0A361}" srcOrd="0" destOrd="0" presId="urn:microsoft.com/office/officeart/2005/8/layout/hierarchy2"/>
    <dgm:cxn modelId="{FF699956-B3A4-4711-8886-5CB4C3949ECD}" type="presParOf" srcId="{58D68F11-F398-45D0-96DA-DE4E77FB97A1}" destId="{EE8F1D18-A167-49E5-901E-735D6AFB7BFD}" srcOrd="1" destOrd="0" presId="urn:microsoft.com/office/officeart/2005/8/layout/hierarchy2"/>
    <dgm:cxn modelId="{1D04E964-DF7A-4AE0-85B3-FDC96FB22F12}" type="presParOf" srcId="{68379B47-8081-4F5B-BA3F-02196C223B0A}" destId="{36FBAA05-0FD8-4987-B9BD-1945C89AAAB6}" srcOrd="2" destOrd="0" presId="urn:microsoft.com/office/officeart/2005/8/layout/hierarchy2"/>
    <dgm:cxn modelId="{AE1DFFE8-B81E-433F-9DB6-748F92A3DE83}" type="presParOf" srcId="{36FBAA05-0FD8-4987-B9BD-1945C89AAAB6}" destId="{4E6F30C4-587D-4D18-BC5B-602FD8F3D214}" srcOrd="0" destOrd="0" presId="urn:microsoft.com/office/officeart/2005/8/layout/hierarchy2"/>
    <dgm:cxn modelId="{B4F0CF6B-0D41-4EBC-B88A-EA53AB7A2F83}" type="presParOf" srcId="{68379B47-8081-4F5B-BA3F-02196C223B0A}" destId="{5D039F13-AA96-4999-9ECA-A19AA3788602}" srcOrd="3" destOrd="0" presId="urn:microsoft.com/office/officeart/2005/8/layout/hierarchy2"/>
    <dgm:cxn modelId="{D1D9C735-0FB4-4A8E-99DF-33E2F7574748}" type="presParOf" srcId="{5D039F13-AA96-4999-9ECA-A19AA3788602}" destId="{BA8C6BD1-3641-43C5-A644-EFC300F93DC6}" srcOrd="0" destOrd="0" presId="urn:microsoft.com/office/officeart/2005/8/layout/hierarchy2"/>
    <dgm:cxn modelId="{F531EC6D-38E9-48D1-A057-3C718F6826E1}" type="presParOf" srcId="{5D039F13-AA96-4999-9ECA-A19AA3788602}" destId="{4E41E8F9-56CE-4EB2-A24D-40992B0D1065}" srcOrd="1" destOrd="0" presId="urn:microsoft.com/office/officeart/2005/8/layout/hierarchy2"/>
    <dgm:cxn modelId="{56CD19EB-0F83-40A2-A33D-DA074D41457E}" type="presParOf" srcId="{68379B47-8081-4F5B-BA3F-02196C223B0A}" destId="{7F79701F-6ADF-4C10-8003-AA9B7DC17060}" srcOrd="4" destOrd="0" presId="urn:microsoft.com/office/officeart/2005/8/layout/hierarchy2"/>
    <dgm:cxn modelId="{6FCAEA5F-03EE-4BF8-9972-D7BE39B21F05}" type="presParOf" srcId="{7F79701F-6ADF-4C10-8003-AA9B7DC17060}" destId="{27E28E2C-1EEA-4C9D-9B3F-519D7653BCE9}" srcOrd="0" destOrd="0" presId="urn:microsoft.com/office/officeart/2005/8/layout/hierarchy2"/>
    <dgm:cxn modelId="{90062286-66CE-42B1-A037-B0072E4CB216}" type="presParOf" srcId="{68379B47-8081-4F5B-BA3F-02196C223B0A}" destId="{BC7710C1-EDC4-4A18-9591-52EA06A4C848}" srcOrd="5" destOrd="0" presId="urn:microsoft.com/office/officeart/2005/8/layout/hierarchy2"/>
    <dgm:cxn modelId="{DBA3FEDD-4CF1-45E5-9F87-A91CA8FAEEDA}" type="presParOf" srcId="{BC7710C1-EDC4-4A18-9591-52EA06A4C848}" destId="{17ABE5F7-5FE3-4302-8EDE-F80DBEB64D41}" srcOrd="0" destOrd="0" presId="urn:microsoft.com/office/officeart/2005/8/layout/hierarchy2"/>
    <dgm:cxn modelId="{2A9F03CA-1271-483B-86BA-1C2203A39AC5}" type="presParOf" srcId="{BC7710C1-EDC4-4A18-9591-52EA06A4C848}" destId="{2D246BAA-0849-4B71-8B40-1006D64F9D5C}" srcOrd="1" destOrd="0" presId="urn:microsoft.com/office/officeart/2005/8/layout/hierarchy2"/>
    <dgm:cxn modelId="{0B1560BF-563B-4CB0-BB01-3BE98DDBE487}" type="presParOf" srcId="{752EF29A-3AB6-4D6B-942C-2E015EC79366}" destId="{D47553C5-0DF5-4701-B101-392E09E6FF4E}" srcOrd="2" destOrd="0" presId="urn:microsoft.com/office/officeart/2005/8/layout/hierarchy2"/>
    <dgm:cxn modelId="{EEADE2D2-8141-4661-AB40-ECEC81A128A7}" type="presParOf" srcId="{D47553C5-0DF5-4701-B101-392E09E6FF4E}" destId="{4DEE9E45-1E47-41C3-95AA-B6E056E5446E}" srcOrd="0" destOrd="0" presId="urn:microsoft.com/office/officeart/2005/8/layout/hierarchy2"/>
    <dgm:cxn modelId="{0A666CF6-8600-4DE7-8934-9B75BD2B9EB1}" type="presParOf" srcId="{752EF29A-3AB6-4D6B-942C-2E015EC79366}" destId="{59ADC2BD-1109-4AD3-992B-1CE7F47715AA}" srcOrd="3" destOrd="0" presId="urn:microsoft.com/office/officeart/2005/8/layout/hierarchy2"/>
    <dgm:cxn modelId="{46A60385-E7B5-4E2F-A514-D768743282EB}" type="presParOf" srcId="{59ADC2BD-1109-4AD3-992B-1CE7F47715AA}" destId="{331ADF1E-BBA5-486B-9F9D-2CD4170DB57A}" srcOrd="0" destOrd="0" presId="urn:microsoft.com/office/officeart/2005/8/layout/hierarchy2"/>
    <dgm:cxn modelId="{9DA9208D-A703-4738-A8CB-5478E1DE678A}" type="presParOf" srcId="{59ADC2BD-1109-4AD3-992B-1CE7F47715AA}" destId="{5575A7F0-271E-4A16-8461-9F9CE3DCCC25}" srcOrd="1" destOrd="0" presId="urn:microsoft.com/office/officeart/2005/8/layout/hierarchy2"/>
    <dgm:cxn modelId="{556EBA0A-7C51-4AC0-B83F-F35262917108}" type="presParOf" srcId="{5575A7F0-271E-4A16-8461-9F9CE3DCCC25}" destId="{D0B90E32-13A1-47C3-A1D7-08420968502F}" srcOrd="0" destOrd="0" presId="urn:microsoft.com/office/officeart/2005/8/layout/hierarchy2"/>
    <dgm:cxn modelId="{4C187325-A6A6-432D-BA28-F69275375868}" type="presParOf" srcId="{D0B90E32-13A1-47C3-A1D7-08420968502F}" destId="{1A1A6F0C-3CA6-48AC-8E7C-C774121A20E8}" srcOrd="0" destOrd="0" presId="urn:microsoft.com/office/officeart/2005/8/layout/hierarchy2"/>
    <dgm:cxn modelId="{B7B8AFB2-35FF-44D5-BE7D-59172DBA4C7A}" type="presParOf" srcId="{5575A7F0-271E-4A16-8461-9F9CE3DCCC25}" destId="{96B1BD4A-A22A-41F7-A234-D3A11B5112C8}" srcOrd="1" destOrd="0" presId="urn:microsoft.com/office/officeart/2005/8/layout/hierarchy2"/>
    <dgm:cxn modelId="{929C171B-1559-4BC3-A3E9-7D75820FDCE1}" type="presParOf" srcId="{96B1BD4A-A22A-41F7-A234-D3A11B5112C8}" destId="{3AEC872E-CF57-4CBA-B67B-3A7C3ED9C03E}" srcOrd="0" destOrd="0" presId="urn:microsoft.com/office/officeart/2005/8/layout/hierarchy2"/>
    <dgm:cxn modelId="{597494FF-536C-44A2-A287-6044C273C5EE}" type="presParOf" srcId="{96B1BD4A-A22A-41F7-A234-D3A11B5112C8}" destId="{D7967931-D043-4088-AB32-4FA28E20298A}" srcOrd="1" destOrd="0" presId="urn:microsoft.com/office/officeart/2005/8/layout/hierarchy2"/>
    <dgm:cxn modelId="{3A8BF3C0-453B-4796-8E71-B52D8A1E1C8B}" type="presParOf" srcId="{D7967931-D043-4088-AB32-4FA28E20298A}" destId="{E3731F81-E408-4E1C-A482-BF817C07B0D5}" srcOrd="0" destOrd="0" presId="urn:microsoft.com/office/officeart/2005/8/layout/hierarchy2"/>
    <dgm:cxn modelId="{A2A27649-02F2-4197-815B-658BE68B1827}" type="presParOf" srcId="{E3731F81-E408-4E1C-A482-BF817C07B0D5}" destId="{9E2D68B8-1ADD-43A2-AC26-E866773F224B}" srcOrd="0" destOrd="0" presId="urn:microsoft.com/office/officeart/2005/8/layout/hierarchy2"/>
    <dgm:cxn modelId="{FF735A1A-446A-4538-BD9B-EEE53E9DADFE}" type="presParOf" srcId="{D7967931-D043-4088-AB32-4FA28E20298A}" destId="{FE8AB261-A56A-4970-BE5F-0049F40EB1F0}" srcOrd="1" destOrd="0" presId="urn:microsoft.com/office/officeart/2005/8/layout/hierarchy2"/>
    <dgm:cxn modelId="{074EF967-9074-406B-9DEA-A884ABAD3685}" type="presParOf" srcId="{FE8AB261-A56A-4970-BE5F-0049F40EB1F0}" destId="{2D07A2AA-14E9-4499-A440-CFC618239BF5}" srcOrd="0" destOrd="0" presId="urn:microsoft.com/office/officeart/2005/8/layout/hierarchy2"/>
    <dgm:cxn modelId="{F34251B9-C4D5-4258-8716-738AABA70D73}" type="presParOf" srcId="{FE8AB261-A56A-4970-BE5F-0049F40EB1F0}" destId="{B8F195FF-C0BF-4320-AA9B-69D4885EAC8B}" srcOrd="1" destOrd="0" presId="urn:microsoft.com/office/officeart/2005/8/layout/hierarchy2"/>
    <dgm:cxn modelId="{33260FB8-7B2C-4288-AC34-C3235D3ADC99}" type="presParOf" srcId="{D7967931-D043-4088-AB32-4FA28E20298A}" destId="{38F18FE5-8216-48E8-BFB0-86593B0D4ADA}" srcOrd="2" destOrd="0" presId="urn:microsoft.com/office/officeart/2005/8/layout/hierarchy2"/>
    <dgm:cxn modelId="{0A9434B1-593F-4CAB-9FF2-D2775A8F670A}" type="presParOf" srcId="{38F18FE5-8216-48E8-BFB0-86593B0D4ADA}" destId="{524239BC-2958-40D4-8853-671607DACE8B}" srcOrd="0" destOrd="0" presId="urn:microsoft.com/office/officeart/2005/8/layout/hierarchy2"/>
    <dgm:cxn modelId="{235F699E-D211-43CF-8F65-2D3471E2005B}" type="presParOf" srcId="{D7967931-D043-4088-AB32-4FA28E20298A}" destId="{184BFA84-2533-4B03-B7EE-5DACEECC3201}" srcOrd="3" destOrd="0" presId="urn:microsoft.com/office/officeart/2005/8/layout/hierarchy2"/>
    <dgm:cxn modelId="{6C04FEFC-78A5-4040-B9FB-A628FCA35871}" type="presParOf" srcId="{184BFA84-2533-4B03-B7EE-5DACEECC3201}" destId="{C5128C26-D238-45EC-8009-95D670FD4359}" srcOrd="0" destOrd="0" presId="urn:microsoft.com/office/officeart/2005/8/layout/hierarchy2"/>
    <dgm:cxn modelId="{AF184BD3-88B8-449A-9059-42EAF063B41D}" type="presParOf" srcId="{184BFA84-2533-4B03-B7EE-5DACEECC3201}" destId="{AB138708-4FF2-4340-8121-927052629401}" srcOrd="1" destOrd="0" presId="urn:microsoft.com/office/officeart/2005/8/layout/hierarchy2"/>
    <dgm:cxn modelId="{877B7B80-40E9-45DC-B083-EB7B5E589DB7}" type="presParOf" srcId="{D7967931-D043-4088-AB32-4FA28E20298A}" destId="{8FE83A1E-3DC4-41C0-9B71-2126AE2B7C0B}" srcOrd="4" destOrd="0" presId="urn:microsoft.com/office/officeart/2005/8/layout/hierarchy2"/>
    <dgm:cxn modelId="{9637F093-0B8F-421A-8D17-D47C7CBE1DB1}" type="presParOf" srcId="{8FE83A1E-3DC4-41C0-9B71-2126AE2B7C0B}" destId="{B706D8D7-5AB3-4B22-9B01-3CE937E9FB0F}" srcOrd="0" destOrd="0" presId="urn:microsoft.com/office/officeart/2005/8/layout/hierarchy2"/>
    <dgm:cxn modelId="{1C84049C-ED21-4C3D-9685-BEC9E18E9340}" type="presParOf" srcId="{D7967931-D043-4088-AB32-4FA28E20298A}" destId="{DD7D7614-37E7-46AE-A131-3E0B741197C5}" srcOrd="5" destOrd="0" presId="urn:microsoft.com/office/officeart/2005/8/layout/hierarchy2"/>
    <dgm:cxn modelId="{725561C4-E72C-4946-8D07-CA93462A64E7}" type="presParOf" srcId="{DD7D7614-37E7-46AE-A131-3E0B741197C5}" destId="{6EBBE531-A816-4AD4-A19E-BFFFDA1B5EB8}" srcOrd="0" destOrd="0" presId="urn:microsoft.com/office/officeart/2005/8/layout/hierarchy2"/>
    <dgm:cxn modelId="{E8529F56-B214-4361-B94A-C74E317C1D45}" type="presParOf" srcId="{DD7D7614-37E7-46AE-A131-3E0B741197C5}" destId="{FEEB9A18-041E-4F4B-A03C-2131E5FFAD94}" srcOrd="1" destOrd="0" presId="urn:microsoft.com/office/officeart/2005/8/layout/hierarchy2"/>
    <dgm:cxn modelId="{1B51ED08-4631-405E-8E3E-EE27215359AA}" type="presParOf" srcId="{D7967931-D043-4088-AB32-4FA28E20298A}" destId="{AD8CB1DB-0DAD-403B-ADFB-2A460183A645}" srcOrd="6" destOrd="0" presId="urn:microsoft.com/office/officeart/2005/8/layout/hierarchy2"/>
    <dgm:cxn modelId="{601803C5-A1C7-48A4-B5AE-9219E271811B}" type="presParOf" srcId="{AD8CB1DB-0DAD-403B-ADFB-2A460183A645}" destId="{E38D3CC2-238F-42DE-A321-3E5E78589648}" srcOrd="0" destOrd="0" presId="urn:microsoft.com/office/officeart/2005/8/layout/hierarchy2"/>
    <dgm:cxn modelId="{F4AC6E17-B093-4FD1-A058-9E60C3C2FDC9}" type="presParOf" srcId="{D7967931-D043-4088-AB32-4FA28E20298A}" destId="{49AC1731-C89B-461A-88E6-235C2348499C}" srcOrd="7" destOrd="0" presId="urn:microsoft.com/office/officeart/2005/8/layout/hierarchy2"/>
    <dgm:cxn modelId="{EF791A42-D6B5-45AD-A909-99EC0A9C8F04}" type="presParOf" srcId="{49AC1731-C89B-461A-88E6-235C2348499C}" destId="{75FC3538-6F78-4B4F-BA89-CA492A03BF2D}" srcOrd="0" destOrd="0" presId="urn:microsoft.com/office/officeart/2005/8/layout/hierarchy2"/>
    <dgm:cxn modelId="{D7649561-A5A5-4877-BFC7-DD7FCD3285E5}" type="presParOf" srcId="{49AC1731-C89B-461A-88E6-235C2348499C}" destId="{4903144B-794B-4ACE-90B8-4D7C627E7533}" srcOrd="1" destOrd="0" presId="urn:microsoft.com/office/officeart/2005/8/layout/hierarchy2"/>
    <dgm:cxn modelId="{75ECD90D-4728-4EE2-8C78-768DF4C55A3D}" type="presParOf" srcId="{D7967931-D043-4088-AB32-4FA28E20298A}" destId="{77B69AC8-DAAA-4156-B513-A0FB0A0576B9}" srcOrd="8" destOrd="0" presId="urn:microsoft.com/office/officeart/2005/8/layout/hierarchy2"/>
    <dgm:cxn modelId="{0D18050F-0A97-4732-A815-AA91CFE564AD}" type="presParOf" srcId="{77B69AC8-DAAA-4156-B513-A0FB0A0576B9}" destId="{9ECC5AC2-DEF4-4C40-AB96-A313F4A6C876}" srcOrd="0" destOrd="0" presId="urn:microsoft.com/office/officeart/2005/8/layout/hierarchy2"/>
    <dgm:cxn modelId="{733A5627-DCD0-42A4-89B2-0DA0AEAD530A}" type="presParOf" srcId="{D7967931-D043-4088-AB32-4FA28E20298A}" destId="{86EF8F0D-C78E-4A35-8CBE-F93D4F797BFF}" srcOrd="9" destOrd="0" presId="urn:microsoft.com/office/officeart/2005/8/layout/hierarchy2"/>
    <dgm:cxn modelId="{BB1BE5A9-6D50-45C9-A34E-8AA7A1E4242F}" type="presParOf" srcId="{86EF8F0D-C78E-4A35-8CBE-F93D4F797BFF}" destId="{B1C1A132-5612-4CEA-A1DE-06B75311157A}" srcOrd="0" destOrd="0" presId="urn:microsoft.com/office/officeart/2005/8/layout/hierarchy2"/>
    <dgm:cxn modelId="{5EC5A31A-A413-4C57-B5B3-7FF8DBEBB9CB}" type="presParOf" srcId="{86EF8F0D-C78E-4A35-8CBE-F93D4F797BFF}" destId="{909F2BC8-1D40-4A23-910A-9FAAF09C7B0E}" srcOrd="1" destOrd="0" presId="urn:microsoft.com/office/officeart/2005/8/layout/hierarchy2"/>
    <dgm:cxn modelId="{AC95CB6B-FB72-45F9-AE5F-4D0F16B57A0F}" type="presParOf" srcId="{D7967931-D043-4088-AB32-4FA28E20298A}" destId="{0E16C11A-5CA9-4F6F-AE05-7011CAB18C37}" srcOrd="10" destOrd="0" presId="urn:microsoft.com/office/officeart/2005/8/layout/hierarchy2"/>
    <dgm:cxn modelId="{4A850B27-9E1E-4C55-99B4-CAEC1904A292}" type="presParOf" srcId="{0E16C11A-5CA9-4F6F-AE05-7011CAB18C37}" destId="{2AECA317-6EB7-4C3B-958C-AA586F86DF26}" srcOrd="0" destOrd="0" presId="urn:microsoft.com/office/officeart/2005/8/layout/hierarchy2"/>
    <dgm:cxn modelId="{B770FC4C-92DE-480F-8FD4-36F08F05B25D}" type="presParOf" srcId="{D7967931-D043-4088-AB32-4FA28E20298A}" destId="{915B7F87-9FF8-4FE4-837A-B908EFA815E7}" srcOrd="11" destOrd="0" presId="urn:microsoft.com/office/officeart/2005/8/layout/hierarchy2"/>
    <dgm:cxn modelId="{34117C78-8788-4003-8544-E08EA98317A1}" type="presParOf" srcId="{915B7F87-9FF8-4FE4-837A-B908EFA815E7}" destId="{EFF336B8-3290-43F7-8655-F7279E31B683}" srcOrd="0" destOrd="0" presId="urn:microsoft.com/office/officeart/2005/8/layout/hierarchy2"/>
    <dgm:cxn modelId="{CE238012-03C5-4569-9EA0-CB38222FE120}" type="presParOf" srcId="{915B7F87-9FF8-4FE4-837A-B908EFA815E7}" destId="{68694C9D-7EC5-4B66-9A4C-7015B2F09B53}" srcOrd="1" destOrd="0" presId="urn:microsoft.com/office/officeart/2005/8/layout/hierarchy2"/>
    <dgm:cxn modelId="{E244C023-0A11-4F3D-B822-B6BEDB10B626}" type="presParOf" srcId="{5575A7F0-271E-4A16-8461-9F9CE3DCCC25}" destId="{4EA03074-18F4-4347-B4DB-0164CA9DF94D}" srcOrd="2" destOrd="0" presId="urn:microsoft.com/office/officeart/2005/8/layout/hierarchy2"/>
    <dgm:cxn modelId="{7797B0CA-2A97-4331-BBC6-F644601097D7}" type="presParOf" srcId="{4EA03074-18F4-4347-B4DB-0164CA9DF94D}" destId="{EF2B67FB-BA2C-4F10-B355-C36818BEA72F}" srcOrd="0" destOrd="0" presId="urn:microsoft.com/office/officeart/2005/8/layout/hierarchy2"/>
    <dgm:cxn modelId="{442E69C9-0921-4762-BE11-D62ACC519E48}" type="presParOf" srcId="{5575A7F0-271E-4A16-8461-9F9CE3DCCC25}" destId="{C9268DBD-30AF-4518-98A1-779F497FDD9C}" srcOrd="3" destOrd="0" presId="urn:microsoft.com/office/officeart/2005/8/layout/hierarchy2"/>
    <dgm:cxn modelId="{385085D2-2A6F-47C9-8166-2D2C2887C81F}" type="presParOf" srcId="{C9268DBD-30AF-4518-98A1-779F497FDD9C}" destId="{D36F0518-F3FF-4FD0-AE57-092CAC3DBDBF}" srcOrd="0" destOrd="0" presId="urn:microsoft.com/office/officeart/2005/8/layout/hierarchy2"/>
    <dgm:cxn modelId="{2928BAD7-81AC-42B5-A4C0-0C6B5C2A8A8C}" type="presParOf" srcId="{C9268DBD-30AF-4518-98A1-779F497FDD9C}" destId="{92C513FC-4433-4DD4-BC3D-FEE53DC579B9}" srcOrd="1" destOrd="0" presId="urn:microsoft.com/office/officeart/2005/8/layout/hierarchy2"/>
    <dgm:cxn modelId="{31AA28A2-6D64-494F-8D7A-E3874F455457}" type="presParOf" srcId="{5575A7F0-271E-4A16-8461-9F9CE3DCCC25}" destId="{3AFA85F1-AF44-4DF4-8F03-F2F851D33419}" srcOrd="4" destOrd="0" presId="urn:microsoft.com/office/officeart/2005/8/layout/hierarchy2"/>
    <dgm:cxn modelId="{380E3F7C-E6CE-4752-A20D-0167BC2FE6D4}" type="presParOf" srcId="{3AFA85F1-AF44-4DF4-8F03-F2F851D33419}" destId="{DD26DBD1-8CA1-41A6-B7A3-937E7847E4BD}" srcOrd="0" destOrd="0" presId="urn:microsoft.com/office/officeart/2005/8/layout/hierarchy2"/>
    <dgm:cxn modelId="{2142EFF6-8705-473D-8BDB-2C812300B3B2}" type="presParOf" srcId="{5575A7F0-271E-4A16-8461-9F9CE3DCCC25}" destId="{2FA46AEB-CBA3-4A03-B091-A1138DE78694}" srcOrd="5" destOrd="0" presId="urn:microsoft.com/office/officeart/2005/8/layout/hierarchy2"/>
    <dgm:cxn modelId="{11EC4547-C0D8-48CE-92B0-29D9B8C39EEB}" type="presParOf" srcId="{2FA46AEB-CBA3-4A03-B091-A1138DE78694}" destId="{EBC341C4-B152-4FDC-90DC-DEB9D5232F1C}" srcOrd="0" destOrd="0" presId="urn:microsoft.com/office/officeart/2005/8/layout/hierarchy2"/>
    <dgm:cxn modelId="{0BE25619-A9FD-4681-BAB4-6F6230DDA825}" type="presParOf" srcId="{2FA46AEB-CBA3-4A03-B091-A1138DE78694}" destId="{1249CDE8-72ED-4BB7-9716-5E7DC5D41700}" srcOrd="1" destOrd="0" presId="urn:microsoft.com/office/officeart/2005/8/layout/hierarchy2"/>
    <dgm:cxn modelId="{63B1C58F-53EA-46B7-97C7-6EF947C00BD6}" type="presParOf" srcId="{1249CDE8-72ED-4BB7-9716-5E7DC5D41700}" destId="{C048995E-34E3-4318-BE4B-9E3F01C62F2D}" srcOrd="0" destOrd="0" presId="urn:microsoft.com/office/officeart/2005/8/layout/hierarchy2"/>
    <dgm:cxn modelId="{68CBFC54-F1F3-4667-B551-C8833AC837A9}" type="presParOf" srcId="{C048995E-34E3-4318-BE4B-9E3F01C62F2D}" destId="{7A918996-9259-4663-A6CC-89F1B66D5384}" srcOrd="0" destOrd="0" presId="urn:microsoft.com/office/officeart/2005/8/layout/hierarchy2"/>
    <dgm:cxn modelId="{796E2098-5079-49D0-84A5-C0CC97F199F1}" type="presParOf" srcId="{1249CDE8-72ED-4BB7-9716-5E7DC5D41700}" destId="{4F6208BC-3385-474B-B8DA-E765F60862C7}" srcOrd="1" destOrd="0" presId="urn:microsoft.com/office/officeart/2005/8/layout/hierarchy2"/>
    <dgm:cxn modelId="{3495310F-E4F4-490B-8B4A-5703F3665ECF}" type="presParOf" srcId="{4F6208BC-3385-474B-B8DA-E765F60862C7}" destId="{46E99B83-74EF-41D3-A034-E05E1A53C2F6}" srcOrd="0" destOrd="0" presId="urn:microsoft.com/office/officeart/2005/8/layout/hierarchy2"/>
    <dgm:cxn modelId="{69CD15B2-A18F-48AD-A995-57C0BA33247F}" type="presParOf" srcId="{4F6208BC-3385-474B-B8DA-E765F60862C7}" destId="{A20ADD4A-3E52-47BE-803E-176EA38B5B7A}" srcOrd="1" destOrd="0" presId="urn:microsoft.com/office/officeart/2005/8/layout/hierarchy2"/>
    <dgm:cxn modelId="{7C91D700-7E41-4EC0-8096-4182E303252A}" type="presParOf" srcId="{1249CDE8-72ED-4BB7-9716-5E7DC5D41700}" destId="{EB3C08BD-8FFA-487E-AE30-C2541926896C}" srcOrd="2" destOrd="0" presId="urn:microsoft.com/office/officeart/2005/8/layout/hierarchy2"/>
    <dgm:cxn modelId="{49B510B2-9468-4D1C-B9CA-1C1E2ABDBFAB}" type="presParOf" srcId="{EB3C08BD-8FFA-487E-AE30-C2541926896C}" destId="{1A05C30A-376D-4C41-9416-8D779A626D70}" srcOrd="0" destOrd="0" presId="urn:microsoft.com/office/officeart/2005/8/layout/hierarchy2"/>
    <dgm:cxn modelId="{37FE3E35-FF0F-4F20-882A-AD9D29863F8B}" type="presParOf" srcId="{1249CDE8-72ED-4BB7-9716-5E7DC5D41700}" destId="{0E7B64D2-84BC-40F5-A6C2-9BF5388220E7}" srcOrd="3" destOrd="0" presId="urn:microsoft.com/office/officeart/2005/8/layout/hierarchy2"/>
    <dgm:cxn modelId="{0C6CBB42-9649-48EC-BE51-093A4EB19549}" type="presParOf" srcId="{0E7B64D2-84BC-40F5-A6C2-9BF5388220E7}" destId="{C6C025CE-221C-4327-A348-9A554704826E}" srcOrd="0" destOrd="0" presId="urn:microsoft.com/office/officeart/2005/8/layout/hierarchy2"/>
    <dgm:cxn modelId="{D91E24AB-9C5A-406D-AC0D-BF15701BD481}" type="presParOf" srcId="{0E7B64D2-84BC-40F5-A6C2-9BF5388220E7}" destId="{0F0349FE-B93E-4153-A540-1CA14E5717DB}" srcOrd="1" destOrd="0" presId="urn:microsoft.com/office/officeart/2005/8/layout/hierarchy2"/>
    <dgm:cxn modelId="{31E30721-8CAD-41D0-98F1-B44691A4D25E}" type="presParOf" srcId="{5575A7F0-271E-4A16-8461-9F9CE3DCCC25}" destId="{5146FCCB-5E09-4B76-85D1-D588FE5417E4}" srcOrd="6" destOrd="0" presId="urn:microsoft.com/office/officeart/2005/8/layout/hierarchy2"/>
    <dgm:cxn modelId="{7D672E39-F237-4AEB-8A21-1B48AEC76582}" type="presParOf" srcId="{5146FCCB-5E09-4B76-85D1-D588FE5417E4}" destId="{B3E8F11E-2DD1-4ABF-B721-1A1157971104}" srcOrd="0" destOrd="0" presId="urn:microsoft.com/office/officeart/2005/8/layout/hierarchy2"/>
    <dgm:cxn modelId="{8668AA28-4ABB-4704-B0DA-F5813CE8C271}" type="presParOf" srcId="{5575A7F0-271E-4A16-8461-9F9CE3DCCC25}" destId="{2129FC57-869C-4BE5-AAA6-AA926533E076}" srcOrd="7" destOrd="0" presId="urn:microsoft.com/office/officeart/2005/8/layout/hierarchy2"/>
    <dgm:cxn modelId="{FF1A7DF6-C117-4AE1-AE57-F018DD639FE8}" type="presParOf" srcId="{2129FC57-869C-4BE5-AAA6-AA926533E076}" destId="{2BE3BEDF-E831-4CB3-AAE8-76482441249E}" srcOrd="0" destOrd="0" presId="urn:microsoft.com/office/officeart/2005/8/layout/hierarchy2"/>
    <dgm:cxn modelId="{6F0BFA25-7E12-4576-BD2D-8562378ECC22}" type="presParOf" srcId="{2129FC57-869C-4BE5-AAA6-AA926533E076}" destId="{09151CA4-A31A-47A4-B3F2-1D462FAC34F4}" srcOrd="1" destOrd="0" presId="urn:microsoft.com/office/officeart/2005/8/layout/hierarchy2"/>
    <dgm:cxn modelId="{B1786CA0-47C8-458C-BB2C-14591FD53EE6}" type="presParOf" srcId="{09151CA4-A31A-47A4-B3F2-1D462FAC34F4}" destId="{3A4FE33A-4B6F-4151-BC36-1F5DECDE4DFD}" srcOrd="0" destOrd="0" presId="urn:microsoft.com/office/officeart/2005/8/layout/hierarchy2"/>
    <dgm:cxn modelId="{DDB4DACF-A6B6-4F8C-8B8F-D7EC01248DCB}" type="presParOf" srcId="{3A4FE33A-4B6F-4151-BC36-1F5DECDE4DFD}" destId="{6BA51C8F-692E-4B58-9609-FCFAB36A67A0}" srcOrd="0" destOrd="0" presId="urn:microsoft.com/office/officeart/2005/8/layout/hierarchy2"/>
    <dgm:cxn modelId="{4CA175DA-5E6B-4047-B1FD-9730752AC2BE}" type="presParOf" srcId="{09151CA4-A31A-47A4-B3F2-1D462FAC34F4}" destId="{317021BB-4B19-4AA9-9A5D-EB8360E5685C}" srcOrd="1" destOrd="0" presId="urn:microsoft.com/office/officeart/2005/8/layout/hierarchy2"/>
    <dgm:cxn modelId="{00F17385-21E4-4CB2-913B-102ADCD5B288}" type="presParOf" srcId="{317021BB-4B19-4AA9-9A5D-EB8360E5685C}" destId="{DCC97DC4-8449-4922-98B5-1BD41AF696A5}" srcOrd="0" destOrd="0" presId="urn:microsoft.com/office/officeart/2005/8/layout/hierarchy2"/>
    <dgm:cxn modelId="{E6857005-20BB-4F9B-9B7D-AF6590C15F84}" type="presParOf" srcId="{317021BB-4B19-4AA9-9A5D-EB8360E5685C}" destId="{A671B69A-4676-484C-A467-260567FFAA48}" srcOrd="1" destOrd="0" presId="urn:microsoft.com/office/officeart/2005/8/layout/hierarchy2"/>
    <dgm:cxn modelId="{EE237A84-9577-4497-B362-F58412DDCA8A}" type="presParOf" srcId="{09151CA4-A31A-47A4-B3F2-1D462FAC34F4}" destId="{B7DD2FF8-6783-48C5-BF7D-9BBBFF1FADFC}" srcOrd="2" destOrd="0" presId="urn:microsoft.com/office/officeart/2005/8/layout/hierarchy2"/>
    <dgm:cxn modelId="{ED2AACA4-AA8A-483D-A817-AB746F68D217}" type="presParOf" srcId="{B7DD2FF8-6783-48C5-BF7D-9BBBFF1FADFC}" destId="{3E750BA9-A918-4079-B217-1FD0A437B2F8}" srcOrd="0" destOrd="0" presId="urn:microsoft.com/office/officeart/2005/8/layout/hierarchy2"/>
    <dgm:cxn modelId="{18204DDB-A793-4FEC-9778-6E5B5F416678}" type="presParOf" srcId="{09151CA4-A31A-47A4-B3F2-1D462FAC34F4}" destId="{E81F4EBF-148C-44B7-ABA0-5DE2946F6BE1}" srcOrd="3" destOrd="0" presId="urn:microsoft.com/office/officeart/2005/8/layout/hierarchy2"/>
    <dgm:cxn modelId="{E32D68BA-0742-4952-85FC-DAAB19377B8C}" type="presParOf" srcId="{E81F4EBF-148C-44B7-ABA0-5DE2946F6BE1}" destId="{6ABBA769-A237-496B-B6DC-5B06372CF4E3}" srcOrd="0" destOrd="0" presId="urn:microsoft.com/office/officeart/2005/8/layout/hierarchy2"/>
    <dgm:cxn modelId="{D2D7C6E8-2741-48BF-A916-44A59A88F425}" type="presParOf" srcId="{E81F4EBF-148C-44B7-ABA0-5DE2946F6BE1}" destId="{C4D55832-A0F6-412E-B806-136A50442996}" srcOrd="1" destOrd="0" presId="urn:microsoft.com/office/officeart/2005/8/layout/hierarchy2"/>
    <dgm:cxn modelId="{65B92503-1FEF-4469-9AF1-66D7379CF780}" type="presParOf" srcId="{5575A7F0-271E-4A16-8461-9F9CE3DCCC25}" destId="{8921587A-3FC0-4F0D-BE9E-EB3318B3AD18}" srcOrd="8" destOrd="0" presId="urn:microsoft.com/office/officeart/2005/8/layout/hierarchy2"/>
    <dgm:cxn modelId="{9529312C-1876-454A-89D0-8531FF2B9023}" type="presParOf" srcId="{8921587A-3FC0-4F0D-BE9E-EB3318B3AD18}" destId="{B7C5E2FE-1A72-4DA8-B7C8-4D453A8021FE}" srcOrd="0" destOrd="0" presId="urn:microsoft.com/office/officeart/2005/8/layout/hierarchy2"/>
    <dgm:cxn modelId="{AA059FF7-9ED5-48EB-9362-30F40CDB7736}" type="presParOf" srcId="{5575A7F0-271E-4A16-8461-9F9CE3DCCC25}" destId="{090206E6-737A-4F5B-AAB7-B12DA3BF1F07}" srcOrd="9" destOrd="0" presId="urn:microsoft.com/office/officeart/2005/8/layout/hierarchy2"/>
    <dgm:cxn modelId="{9D872A83-C85F-4CA6-B2F6-E79F33C781C9}" type="presParOf" srcId="{090206E6-737A-4F5B-AAB7-B12DA3BF1F07}" destId="{4EA0C507-EC4F-41AC-85CB-797342E073FE}" srcOrd="0" destOrd="0" presId="urn:microsoft.com/office/officeart/2005/8/layout/hierarchy2"/>
    <dgm:cxn modelId="{B9770F5A-4175-49AB-9BC0-9FF601F88AEB}" type="presParOf" srcId="{090206E6-737A-4F5B-AAB7-B12DA3BF1F07}" destId="{3F48D871-E9ED-4981-823B-3B305E61789B}" srcOrd="1" destOrd="0" presId="urn:microsoft.com/office/officeart/2005/8/layout/hierarchy2"/>
    <dgm:cxn modelId="{4D219D1C-8A39-401E-A995-CBB6B77DE65B}" type="presParOf" srcId="{5575A7F0-271E-4A16-8461-9F9CE3DCCC25}" destId="{E63256BC-891C-479A-BB09-95EA6E35B16F}" srcOrd="10" destOrd="0" presId="urn:microsoft.com/office/officeart/2005/8/layout/hierarchy2"/>
    <dgm:cxn modelId="{21D7E50C-24B7-463F-90FB-C9BEC9E1D14D}" type="presParOf" srcId="{E63256BC-891C-479A-BB09-95EA6E35B16F}" destId="{350876BB-7A04-4D7A-9390-EBC46FF1103B}" srcOrd="0" destOrd="0" presId="urn:microsoft.com/office/officeart/2005/8/layout/hierarchy2"/>
    <dgm:cxn modelId="{2791E027-76C3-42FC-8863-639269FC6170}" type="presParOf" srcId="{5575A7F0-271E-4A16-8461-9F9CE3DCCC25}" destId="{6F75489C-0985-4B06-9367-4B8838822A58}" srcOrd="11" destOrd="0" presId="urn:microsoft.com/office/officeart/2005/8/layout/hierarchy2"/>
    <dgm:cxn modelId="{C15F8E5A-673B-41A2-AFAE-DE9BBF13F338}" type="presParOf" srcId="{6F75489C-0985-4B06-9367-4B8838822A58}" destId="{1BBB41D4-F1B3-4963-8E1C-E9C26CDE9C75}" srcOrd="0" destOrd="0" presId="urn:microsoft.com/office/officeart/2005/8/layout/hierarchy2"/>
    <dgm:cxn modelId="{B1A22635-D8A1-444A-ACA9-CA92E0D6187E}" type="presParOf" srcId="{6F75489C-0985-4B06-9367-4B8838822A58}" destId="{60BF96C9-53C8-49A4-B097-910AF1F719B9}" srcOrd="1" destOrd="0" presId="urn:microsoft.com/office/officeart/2005/8/layout/hierarchy2"/>
    <dgm:cxn modelId="{4EB4AB8A-8C17-43F7-A05F-96F26F7B6B05}" type="presParOf" srcId="{5575A7F0-271E-4A16-8461-9F9CE3DCCC25}" destId="{5D705C64-9DFE-4578-969A-727A81F4201A}" srcOrd="12" destOrd="0" presId="urn:microsoft.com/office/officeart/2005/8/layout/hierarchy2"/>
    <dgm:cxn modelId="{01AD34AC-8948-4232-B924-E1926A7841BC}" type="presParOf" srcId="{5D705C64-9DFE-4578-969A-727A81F4201A}" destId="{07BB44AD-5DA9-4724-90A0-ED9ADFCD0149}" srcOrd="0" destOrd="0" presId="urn:microsoft.com/office/officeart/2005/8/layout/hierarchy2"/>
    <dgm:cxn modelId="{218C9637-6FC2-46B3-8918-1E1B7E12FDF4}" type="presParOf" srcId="{5575A7F0-271E-4A16-8461-9F9CE3DCCC25}" destId="{963CB641-148E-4903-8859-DCBB3A552CDB}" srcOrd="13" destOrd="0" presId="urn:microsoft.com/office/officeart/2005/8/layout/hierarchy2"/>
    <dgm:cxn modelId="{51F24508-66D7-4F9C-A61E-8A234A0A4215}" type="presParOf" srcId="{963CB641-148E-4903-8859-DCBB3A552CDB}" destId="{6C83BF9F-4FC0-45B3-A6FE-CB6BCB5CAF4D}" srcOrd="0" destOrd="0" presId="urn:microsoft.com/office/officeart/2005/8/layout/hierarchy2"/>
    <dgm:cxn modelId="{9FA5A55C-02F3-4E16-975F-71647B195DAD}" type="presParOf" srcId="{963CB641-148E-4903-8859-DCBB3A552CDB}" destId="{749DCE65-EAEE-4FCC-AC6D-3E8A91EA1257}" srcOrd="1" destOrd="0" presId="urn:microsoft.com/office/officeart/2005/8/layout/hierarchy2"/>
    <dgm:cxn modelId="{1E47F4C6-5444-4016-8606-F36123715927}" type="presParOf" srcId="{5575A7F0-271E-4A16-8461-9F9CE3DCCC25}" destId="{E5FAC94E-1C4B-443B-B281-8F60D5F40EC1}" srcOrd="14" destOrd="0" presId="urn:microsoft.com/office/officeart/2005/8/layout/hierarchy2"/>
    <dgm:cxn modelId="{7F713DAE-4979-4498-BACB-FEC0ED926E67}" type="presParOf" srcId="{E5FAC94E-1C4B-443B-B281-8F60D5F40EC1}" destId="{5666F91C-7BEB-4B72-8393-CB8CC553C5C8}" srcOrd="0" destOrd="0" presId="urn:microsoft.com/office/officeart/2005/8/layout/hierarchy2"/>
    <dgm:cxn modelId="{DE81239F-2800-4A2A-AA60-DB0F901E4010}" type="presParOf" srcId="{5575A7F0-271E-4A16-8461-9F9CE3DCCC25}" destId="{C0F2308C-83F5-4CC5-B53E-A4E2F236284A}" srcOrd="15" destOrd="0" presId="urn:microsoft.com/office/officeart/2005/8/layout/hierarchy2"/>
    <dgm:cxn modelId="{1CE45ABB-8B72-4066-8605-720900C301F7}" type="presParOf" srcId="{C0F2308C-83F5-4CC5-B53E-A4E2F236284A}" destId="{E17BAC59-B307-44B1-AB82-FDA90FC86DD7}" srcOrd="0" destOrd="0" presId="urn:microsoft.com/office/officeart/2005/8/layout/hierarchy2"/>
    <dgm:cxn modelId="{2B7D5714-6688-4ABC-8A7D-86F274213F98}" type="presParOf" srcId="{C0F2308C-83F5-4CC5-B53E-A4E2F236284A}" destId="{A40A76A7-F748-493B-B1C6-6BCDA816FF78}" srcOrd="1" destOrd="0" presId="urn:microsoft.com/office/officeart/2005/8/layout/hierarchy2"/>
    <dgm:cxn modelId="{6AD85484-FDE9-41DA-9820-2CEA7A26D0FC}" type="presParOf" srcId="{752EF29A-3AB6-4D6B-942C-2E015EC79366}" destId="{26EB1BB0-09D7-46FC-A570-2F684DE8AF1A}" srcOrd="4" destOrd="0" presId="urn:microsoft.com/office/officeart/2005/8/layout/hierarchy2"/>
    <dgm:cxn modelId="{5C17FD50-3074-41D4-88D3-566DC698C419}" type="presParOf" srcId="{26EB1BB0-09D7-46FC-A570-2F684DE8AF1A}" destId="{79099B59-52CB-4025-AC2E-41024C24342F}" srcOrd="0" destOrd="0" presId="urn:microsoft.com/office/officeart/2005/8/layout/hierarchy2"/>
    <dgm:cxn modelId="{FCE18FC3-9410-458D-AAD7-3143463B3668}" type="presParOf" srcId="{752EF29A-3AB6-4D6B-942C-2E015EC79366}" destId="{750965AD-7672-45A6-B9AD-BD327255FB19}" srcOrd="5" destOrd="0" presId="urn:microsoft.com/office/officeart/2005/8/layout/hierarchy2"/>
    <dgm:cxn modelId="{A7E3A29E-A448-4BDA-9C8B-76847958C58C}" type="presParOf" srcId="{750965AD-7672-45A6-B9AD-BD327255FB19}" destId="{25B1F19D-37E2-486E-BD37-55A81223D911}" srcOrd="0" destOrd="0" presId="urn:microsoft.com/office/officeart/2005/8/layout/hierarchy2"/>
    <dgm:cxn modelId="{EC411F41-BD87-42EA-8AD1-47C086DD5022}" type="presParOf" srcId="{750965AD-7672-45A6-B9AD-BD327255FB19}" destId="{3C9E6B16-FF2E-48F8-A429-908BF627A839}" srcOrd="1" destOrd="0" presId="urn:microsoft.com/office/officeart/2005/8/layout/hierarchy2"/>
  </dgm:cxnLst>
  <dgm:bg/>
  <dgm:whole>
    <a:ln>
      <a:noFill/>
    </a:ln>
  </dgm:whole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BB5637B9-AD5A-4DF1-B0D7-20531727254E}">
      <dsp:nvSpPr>
        <dsp:cNvPr id="0" name=""/>
        <dsp:cNvSpPr/>
      </dsp:nvSpPr>
      <dsp:spPr>
        <a:xfrm>
          <a:off x="297804" y="4934432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Uniformity Of Cell Size</a:t>
          </a:r>
        </a:p>
      </dsp:txBody>
      <dsp:txXfrm>
        <a:off x="308768" y="4945396"/>
        <a:ext cx="726736" cy="352404"/>
      </dsp:txXfrm>
    </dsp:sp>
    <dsp:sp modelId="{9D20A1FE-273A-4602-A277-C50020FF8774}">
      <dsp:nvSpPr>
        <dsp:cNvPr id="0" name=""/>
        <dsp:cNvSpPr/>
      </dsp:nvSpPr>
      <dsp:spPr>
        <a:xfrm rot="18411190">
          <a:off x="126665" y="3279390"/>
          <a:ext cx="4596328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183256" y="3273"/>
              </a:lnTo>
            </a:path>
            <a:path>
              <a:moveTo>
                <a:pt x="2413072" y="3273"/>
              </a:moveTo>
              <a:lnTo>
                <a:pt x="4596328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2309921" y="3167755"/>
        <a:ext cx="229816" cy="229816"/>
      </dsp:txXfrm>
    </dsp:sp>
    <dsp:sp modelId="{4A92D06A-4F25-4323-AC01-789A2832BE3E}">
      <dsp:nvSpPr>
        <dsp:cNvPr id="0" name=""/>
        <dsp:cNvSpPr/>
      </dsp:nvSpPr>
      <dsp:spPr>
        <a:xfrm>
          <a:off x="3803191" y="1256563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Bare Nucleoli</a:t>
          </a:r>
        </a:p>
      </dsp:txBody>
      <dsp:txXfrm>
        <a:off x="3814155" y="1267527"/>
        <a:ext cx="726736" cy="352404"/>
      </dsp:txXfrm>
    </dsp:sp>
    <dsp:sp modelId="{4896DAE7-CA02-4CD6-A3D7-BB714EF7AAE5}">
      <dsp:nvSpPr>
        <dsp:cNvPr id="0" name=""/>
        <dsp:cNvSpPr/>
      </dsp:nvSpPr>
      <dsp:spPr>
        <a:xfrm rot="20910354">
          <a:off x="4488999" y="815911"/>
          <a:ext cx="6268417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977498" y="3273"/>
              </a:lnTo>
            </a:path>
            <a:path>
              <a:moveTo>
                <a:pt x="3290919" y="3273"/>
              </a:moveTo>
              <a:lnTo>
                <a:pt x="6268417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7466498" y="662474"/>
        <a:ext cx="313420" cy="313420"/>
      </dsp:txXfrm>
    </dsp:sp>
    <dsp:sp modelId="{4B609013-FE7C-41B2-B0D0-4017D8381C7E}">
      <dsp:nvSpPr>
        <dsp:cNvPr id="0" name=""/>
        <dsp:cNvSpPr/>
      </dsp:nvSpPr>
      <dsp:spPr>
        <a:xfrm>
          <a:off x="10694561" y="7474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0705525" y="18438"/>
        <a:ext cx="726736" cy="352404"/>
      </dsp:txXfrm>
    </dsp:sp>
    <dsp:sp modelId="{2E259732-4D4A-45B9-9BAB-75AFDB70EF34}">
      <dsp:nvSpPr>
        <dsp:cNvPr id="0" name=""/>
        <dsp:cNvSpPr/>
      </dsp:nvSpPr>
      <dsp:spPr>
        <a:xfrm rot="21144552">
          <a:off x="4524702" y="1031151"/>
          <a:ext cx="619701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943580" y="3273"/>
              </a:lnTo>
            </a:path>
            <a:path>
              <a:moveTo>
                <a:pt x="3253431" y="3273"/>
              </a:moveTo>
              <a:lnTo>
                <a:pt x="619701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2</a:t>
          </a:r>
        </a:p>
      </dsp:txBody>
      <dsp:txXfrm>
        <a:off x="7468283" y="879500"/>
        <a:ext cx="309850" cy="309850"/>
      </dsp:txXfrm>
    </dsp:sp>
    <dsp:sp modelId="{1B35BE22-2F04-46C2-BE03-C38E6B4A18D2}">
      <dsp:nvSpPr>
        <dsp:cNvPr id="0" name=""/>
        <dsp:cNvSpPr/>
      </dsp:nvSpPr>
      <dsp:spPr>
        <a:xfrm>
          <a:off x="10694561" y="437955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0705525" y="448919"/>
        <a:ext cx="726736" cy="352404"/>
      </dsp:txXfrm>
    </dsp:sp>
    <dsp:sp modelId="{0C0B1B24-32B6-4A1A-AEB3-5FD057FAE234}">
      <dsp:nvSpPr>
        <dsp:cNvPr id="0" name=""/>
        <dsp:cNvSpPr/>
      </dsp:nvSpPr>
      <dsp:spPr>
        <a:xfrm rot="21383075">
          <a:off x="4545730" y="1246392"/>
          <a:ext cx="6154955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923603" y="3273"/>
              </a:lnTo>
            </a:path>
            <a:path>
              <a:moveTo>
                <a:pt x="3231351" y="3273"/>
              </a:moveTo>
              <a:lnTo>
                <a:pt x="6154955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3</a:t>
          </a:r>
        </a:p>
      </dsp:txBody>
      <dsp:txXfrm>
        <a:off x="7469334" y="1095792"/>
        <a:ext cx="307747" cy="307747"/>
      </dsp:txXfrm>
    </dsp:sp>
    <dsp:sp modelId="{76825CE1-92BD-484F-9193-7F22A6F7FE34}">
      <dsp:nvSpPr>
        <dsp:cNvPr id="0" name=""/>
        <dsp:cNvSpPr/>
      </dsp:nvSpPr>
      <dsp:spPr>
        <a:xfrm>
          <a:off x="10694561" y="868437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0705525" y="879401"/>
        <a:ext cx="726736" cy="352404"/>
      </dsp:txXfrm>
    </dsp:sp>
    <dsp:sp modelId="{AC9ACBFE-11B0-48A5-8991-E653A44146FA}">
      <dsp:nvSpPr>
        <dsp:cNvPr id="0" name=""/>
        <dsp:cNvSpPr/>
      </dsp:nvSpPr>
      <dsp:spPr>
        <a:xfrm rot="23704">
          <a:off x="4551782" y="1461633"/>
          <a:ext cx="6142852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917854" y="3273"/>
              </a:lnTo>
            </a:path>
            <a:path>
              <a:moveTo>
                <a:pt x="3224997" y="3273"/>
              </a:moveTo>
              <a:lnTo>
                <a:pt x="6142852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4</a:t>
          </a:r>
        </a:p>
      </dsp:txBody>
      <dsp:txXfrm>
        <a:off x="7469637" y="1311336"/>
        <a:ext cx="307142" cy="307142"/>
      </dsp:txXfrm>
    </dsp:sp>
    <dsp:sp modelId="{DE8B67CB-5CB0-4889-840C-0FBE6AA9AACA}">
      <dsp:nvSpPr>
        <dsp:cNvPr id="0" name=""/>
        <dsp:cNvSpPr/>
      </dsp:nvSpPr>
      <dsp:spPr>
        <a:xfrm>
          <a:off x="10694561" y="1298919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0705525" y="1309883"/>
        <a:ext cx="726736" cy="352404"/>
      </dsp:txXfrm>
    </dsp:sp>
    <dsp:sp modelId="{D89D0FAC-93CE-4E83-8F6E-E619B382ED37}">
      <dsp:nvSpPr>
        <dsp:cNvPr id="0" name=""/>
        <dsp:cNvSpPr/>
      </dsp:nvSpPr>
      <dsp:spPr>
        <a:xfrm rot="264101">
          <a:off x="4542769" y="1676874"/>
          <a:ext cx="6160877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926416" y="3273"/>
              </a:lnTo>
            </a:path>
            <a:path>
              <a:moveTo>
                <a:pt x="3234460" y="3273"/>
              </a:moveTo>
              <a:lnTo>
                <a:pt x="6160877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5</a:t>
          </a:r>
        </a:p>
      </dsp:txBody>
      <dsp:txXfrm>
        <a:off x="7469186" y="1526126"/>
        <a:ext cx="308043" cy="308043"/>
      </dsp:txXfrm>
    </dsp:sp>
    <dsp:sp modelId="{F00660F1-6F38-4D54-9BC9-19D75E9F374B}">
      <dsp:nvSpPr>
        <dsp:cNvPr id="0" name=""/>
        <dsp:cNvSpPr/>
      </dsp:nvSpPr>
      <dsp:spPr>
        <a:xfrm>
          <a:off x="10694561" y="1729401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CLUMP THICKNESS</a:t>
          </a:r>
        </a:p>
      </dsp:txBody>
      <dsp:txXfrm>
        <a:off x="10705525" y="1740365"/>
        <a:ext cx="726736" cy="352404"/>
      </dsp:txXfrm>
    </dsp:sp>
    <dsp:sp modelId="{E6CD0E54-4C27-4653-B74F-A7AACD0F2C83}">
      <dsp:nvSpPr>
        <dsp:cNvPr id="0" name=""/>
        <dsp:cNvSpPr/>
      </dsp:nvSpPr>
      <dsp:spPr>
        <a:xfrm rot="19430420">
          <a:off x="11204391" y="1181706"/>
          <a:ext cx="2479798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177904" y="3273"/>
              </a:lnTo>
            </a:path>
            <a:path>
              <a:moveTo>
                <a:pt x="1301894" y="3273"/>
              </a:moveTo>
              <a:lnTo>
                <a:pt x="2479798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12382295" y="1107486"/>
        <a:ext cx="123989" cy="154987"/>
      </dsp:txXfrm>
    </dsp:sp>
    <dsp:sp modelId="{DC64718A-BBE3-499D-AFDD-BDBEEB490DBE}">
      <dsp:nvSpPr>
        <dsp:cNvPr id="0" name=""/>
        <dsp:cNvSpPr/>
      </dsp:nvSpPr>
      <dsp:spPr>
        <a:xfrm>
          <a:off x="13445355" y="266227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456319" y="277191"/>
        <a:ext cx="726736" cy="352404"/>
      </dsp:txXfrm>
    </dsp:sp>
    <dsp:sp modelId="{B6389B8A-E724-46AA-AECB-FE26D88A4F51}">
      <dsp:nvSpPr>
        <dsp:cNvPr id="0" name=""/>
        <dsp:cNvSpPr/>
      </dsp:nvSpPr>
      <dsp:spPr>
        <a:xfrm rot="19962928">
          <a:off x="11317905" y="1396947"/>
          <a:ext cx="2252770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070066" y="3273"/>
              </a:lnTo>
            </a:path>
            <a:path>
              <a:moveTo>
                <a:pt x="1182704" y="3273"/>
              </a:moveTo>
              <a:lnTo>
                <a:pt x="2252770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2</a:t>
          </a:r>
        </a:p>
      </dsp:txBody>
      <dsp:txXfrm>
        <a:off x="12387971" y="1322782"/>
        <a:ext cx="112638" cy="154877"/>
      </dsp:txXfrm>
    </dsp:sp>
    <dsp:sp modelId="{A8F80129-0E58-4542-8B06-E75084BBAB95}">
      <dsp:nvSpPr>
        <dsp:cNvPr id="0" name=""/>
        <dsp:cNvSpPr/>
      </dsp:nvSpPr>
      <dsp:spPr>
        <a:xfrm>
          <a:off x="13445355" y="696709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456319" y="707673"/>
        <a:ext cx="726736" cy="352404"/>
      </dsp:txXfrm>
    </dsp:sp>
    <dsp:sp modelId="{CAFE1ABB-C4AB-4911-9B91-620A848B5AA4}">
      <dsp:nvSpPr>
        <dsp:cNvPr id="0" name=""/>
        <dsp:cNvSpPr/>
      </dsp:nvSpPr>
      <dsp:spPr>
        <a:xfrm rot="20595570">
          <a:off x="11398922" y="1612188"/>
          <a:ext cx="2090736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993100" y="3273"/>
              </a:lnTo>
            </a:path>
            <a:path>
              <a:moveTo>
                <a:pt x="1097636" y="3273"/>
              </a:moveTo>
              <a:lnTo>
                <a:pt x="2090736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3</a:t>
          </a:r>
        </a:p>
      </dsp:txBody>
      <dsp:txXfrm>
        <a:off x="12392022" y="1537059"/>
        <a:ext cx="104536" cy="156805"/>
      </dsp:txXfrm>
    </dsp:sp>
    <dsp:sp modelId="{EA1DD345-2154-4455-B71C-8589A9B798B8}">
      <dsp:nvSpPr>
        <dsp:cNvPr id="0" name=""/>
        <dsp:cNvSpPr/>
      </dsp:nvSpPr>
      <dsp:spPr>
        <a:xfrm>
          <a:off x="13445355" y="1127190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456319" y="1138154"/>
        <a:ext cx="726736" cy="352404"/>
      </dsp:txXfrm>
    </dsp:sp>
    <dsp:sp modelId="{FF1F79DF-8838-48C5-8284-92FE91C569CA}">
      <dsp:nvSpPr>
        <dsp:cNvPr id="0" name=""/>
        <dsp:cNvSpPr/>
      </dsp:nvSpPr>
      <dsp:spPr>
        <a:xfrm rot="21305854">
          <a:off x="11439550" y="1827429"/>
          <a:ext cx="200948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954503" y="3273"/>
              </a:lnTo>
            </a:path>
            <a:path>
              <a:moveTo>
                <a:pt x="1054977" y="3273"/>
              </a:moveTo>
              <a:lnTo>
                <a:pt x="200948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4</a:t>
          </a:r>
        </a:p>
      </dsp:txBody>
      <dsp:txXfrm>
        <a:off x="12394053" y="1755347"/>
        <a:ext cx="100474" cy="150711"/>
      </dsp:txXfrm>
    </dsp:sp>
    <dsp:sp modelId="{8F1434EE-ECEB-4AB6-A5CB-B823A72EC71F}">
      <dsp:nvSpPr>
        <dsp:cNvPr id="0" name=""/>
        <dsp:cNvSpPr/>
      </dsp:nvSpPr>
      <dsp:spPr>
        <a:xfrm>
          <a:off x="13445355" y="1557672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3456319" y="1568636"/>
        <a:ext cx="726736" cy="352404"/>
      </dsp:txXfrm>
    </dsp:sp>
    <dsp:sp modelId="{BDCF1001-503C-4A12-9480-65B2B61EC0E5}">
      <dsp:nvSpPr>
        <dsp:cNvPr id="0" name=""/>
        <dsp:cNvSpPr/>
      </dsp:nvSpPr>
      <dsp:spPr>
        <a:xfrm rot="441842">
          <a:off x="11434900" y="2042670"/>
          <a:ext cx="201878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958920" y="3273"/>
              </a:lnTo>
            </a:path>
            <a:path>
              <a:moveTo>
                <a:pt x="1059860" y="3273"/>
              </a:moveTo>
              <a:lnTo>
                <a:pt x="201878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5</a:t>
          </a:r>
        </a:p>
      </dsp:txBody>
      <dsp:txXfrm>
        <a:off x="12393821" y="1970239"/>
        <a:ext cx="100939" cy="151408"/>
      </dsp:txXfrm>
    </dsp:sp>
    <dsp:sp modelId="{693D7B28-56BA-4A57-A292-6D1C38711570}">
      <dsp:nvSpPr>
        <dsp:cNvPr id="0" name=""/>
        <dsp:cNvSpPr/>
      </dsp:nvSpPr>
      <dsp:spPr>
        <a:xfrm>
          <a:off x="13445355" y="1988154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456319" y="1999118"/>
        <a:ext cx="726736" cy="352404"/>
      </dsp:txXfrm>
    </dsp:sp>
    <dsp:sp modelId="{D86F9420-7DC9-4AFC-A97B-EA211622C5E7}">
      <dsp:nvSpPr>
        <dsp:cNvPr id="0" name=""/>
        <dsp:cNvSpPr/>
      </dsp:nvSpPr>
      <dsp:spPr>
        <a:xfrm rot="1139764">
          <a:off x="11385568" y="2257910"/>
          <a:ext cx="2117443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005785" y="3273"/>
              </a:lnTo>
            </a:path>
            <a:path>
              <a:moveTo>
                <a:pt x="1111658" y="3273"/>
              </a:moveTo>
              <a:lnTo>
                <a:pt x="2117443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6</a:t>
          </a:r>
        </a:p>
      </dsp:txBody>
      <dsp:txXfrm>
        <a:off x="12391354" y="2181780"/>
        <a:ext cx="105872" cy="158808"/>
      </dsp:txXfrm>
    </dsp:sp>
    <dsp:sp modelId="{0F613EA8-A02E-4F7F-BBD0-C52132ED4386}">
      <dsp:nvSpPr>
        <dsp:cNvPr id="0" name=""/>
        <dsp:cNvSpPr/>
      </dsp:nvSpPr>
      <dsp:spPr>
        <a:xfrm>
          <a:off x="13445355" y="2418636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3456319" y="2429600"/>
        <a:ext cx="726736" cy="352404"/>
      </dsp:txXfrm>
    </dsp:sp>
    <dsp:sp modelId="{E0B5EDE8-D6B1-43F7-B96E-AB58F63E0F63}">
      <dsp:nvSpPr>
        <dsp:cNvPr id="0" name=""/>
        <dsp:cNvSpPr/>
      </dsp:nvSpPr>
      <dsp:spPr>
        <a:xfrm rot="1054506">
          <a:off x="4401471" y="2413277"/>
          <a:ext cx="6443474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3060650" y="3273"/>
              </a:lnTo>
            </a:path>
            <a:path>
              <a:moveTo>
                <a:pt x="3382824" y="3273"/>
              </a:moveTo>
              <a:lnTo>
                <a:pt x="6443474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10</a:t>
          </a:r>
        </a:p>
      </dsp:txBody>
      <dsp:txXfrm>
        <a:off x="7462121" y="2255464"/>
        <a:ext cx="322173" cy="322173"/>
      </dsp:txXfrm>
    </dsp:sp>
    <dsp:sp modelId="{44FBA2CD-E84F-4527-8E68-7EE89F81703E}">
      <dsp:nvSpPr>
        <dsp:cNvPr id="0" name=""/>
        <dsp:cNvSpPr/>
      </dsp:nvSpPr>
      <dsp:spPr>
        <a:xfrm>
          <a:off x="10694561" y="3202206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CLUMP THICKNESS</a:t>
          </a:r>
        </a:p>
      </dsp:txBody>
      <dsp:txXfrm>
        <a:off x="10705525" y="3213170"/>
        <a:ext cx="726736" cy="352404"/>
      </dsp:txXfrm>
    </dsp:sp>
    <dsp:sp modelId="{69866E97-9649-4131-B0B3-F7CA9B612189}">
      <dsp:nvSpPr>
        <dsp:cNvPr id="0" name=""/>
        <dsp:cNvSpPr/>
      </dsp:nvSpPr>
      <dsp:spPr>
        <a:xfrm rot="21261034">
          <a:off x="11434515" y="3209554"/>
          <a:ext cx="3586782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03721" y="3273"/>
              </a:lnTo>
            </a:path>
            <a:path>
              <a:moveTo>
                <a:pt x="1883060" y="3273"/>
              </a:moveTo>
              <a:lnTo>
                <a:pt x="3586782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13138236" y="3123159"/>
        <a:ext cx="179339" cy="179339"/>
      </dsp:txXfrm>
    </dsp:sp>
    <dsp:sp modelId="{065C7D7E-00EB-4936-8BFB-8AA15EA0A361}">
      <dsp:nvSpPr>
        <dsp:cNvPr id="0" name=""/>
        <dsp:cNvSpPr/>
      </dsp:nvSpPr>
      <dsp:spPr>
        <a:xfrm>
          <a:off x="15012586" y="2849118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5023550" y="2860082"/>
        <a:ext cx="726736" cy="352404"/>
      </dsp:txXfrm>
    </dsp:sp>
    <dsp:sp modelId="{36FBAA05-0FD8-4987-B9BD-1945C89AAAB6}">
      <dsp:nvSpPr>
        <dsp:cNvPr id="0" name=""/>
        <dsp:cNvSpPr/>
      </dsp:nvSpPr>
      <dsp:spPr>
        <a:xfrm rot="74528">
          <a:off x="11442806" y="3424795"/>
          <a:ext cx="3570199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695844" y="3273"/>
              </a:lnTo>
            </a:path>
            <a:path>
              <a:moveTo>
                <a:pt x="1874354" y="3273"/>
              </a:moveTo>
              <a:lnTo>
                <a:pt x="3570199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9</a:t>
          </a:r>
        </a:p>
      </dsp:txBody>
      <dsp:txXfrm>
        <a:off x="13138651" y="3338814"/>
        <a:ext cx="178509" cy="178509"/>
      </dsp:txXfrm>
    </dsp:sp>
    <dsp:sp modelId="{BA8C6BD1-3641-43C5-A644-EFC300F93DC6}">
      <dsp:nvSpPr>
        <dsp:cNvPr id="0" name=""/>
        <dsp:cNvSpPr/>
      </dsp:nvSpPr>
      <dsp:spPr>
        <a:xfrm>
          <a:off x="15012586" y="3279600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5023550" y="3290564"/>
        <a:ext cx="726736" cy="352404"/>
      </dsp:txXfrm>
    </dsp:sp>
    <dsp:sp modelId="{7F79701F-6ADF-4C10-8003-AA9B7DC17060}">
      <dsp:nvSpPr>
        <dsp:cNvPr id="0" name=""/>
        <dsp:cNvSpPr/>
      </dsp:nvSpPr>
      <dsp:spPr>
        <a:xfrm rot="485886">
          <a:off x="11425250" y="3640036"/>
          <a:ext cx="360531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12523" y="3273"/>
              </a:lnTo>
            </a:path>
            <a:path>
              <a:moveTo>
                <a:pt x="1892788" y="3273"/>
              </a:moveTo>
              <a:lnTo>
                <a:pt x="360531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10</a:t>
          </a:r>
        </a:p>
      </dsp:txBody>
      <dsp:txXfrm>
        <a:off x="13137773" y="3553177"/>
        <a:ext cx="180265" cy="180265"/>
      </dsp:txXfrm>
    </dsp:sp>
    <dsp:sp modelId="{17ABE5F7-5FE3-4302-8EDE-F80DBEB64D41}">
      <dsp:nvSpPr>
        <dsp:cNvPr id="0" name=""/>
        <dsp:cNvSpPr/>
      </dsp:nvSpPr>
      <dsp:spPr>
        <a:xfrm>
          <a:off x="15012586" y="3710081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5023550" y="3721045"/>
        <a:ext cx="726736" cy="352404"/>
      </dsp:txXfrm>
    </dsp:sp>
    <dsp:sp modelId="{D47553C5-0DF5-4701-B101-392E09E6FF4E}">
      <dsp:nvSpPr>
        <dsp:cNvPr id="0" name=""/>
        <dsp:cNvSpPr/>
      </dsp:nvSpPr>
      <dsp:spPr>
        <a:xfrm rot="21451377">
          <a:off x="1045179" y="5058696"/>
          <a:ext cx="275930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310668" y="3273"/>
              </a:lnTo>
            </a:path>
            <a:path>
              <a:moveTo>
                <a:pt x="1448633" y="3273"/>
              </a:moveTo>
              <a:lnTo>
                <a:pt x="275930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2</a:t>
          </a:r>
        </a:p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050" kern="1200"/>
        </a:p>
      </dsp:txBody>
      <dsp:txXfrm>
        <a:off x="2355847" y="4880891"/>
        <a:ext cx="137965" cy="362158"/>
      </dsp:txXfrm>
    </dsp:sp>
    <dsp:sp modelId="{331ADF1E-BBA5-486B-9F9D-2CD4170DB57A}">
      <dsp:nvSpPr>
        <dsp:cNvPr id="0" name=""/>
        <dsp:cNvSpPr/>
      </dsp:nvSpPr>
      <dsp:spPr>
        <a:xfrm>
          <a:off x="3803191" y="4815177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Bare Nucleoli</a:t>
          </a:r>
        </a:p>
      </dsp:txBody>
      <dsp:txXfrm>
        <a:off x="3814155" y="4826141"/>
        <a:ext cx="726736" cy="352404"/>
      </dsp:txXfrm>
    </dsp:sp>
    <dsp:sp modelId="{D0B90E32-13A1-47C3-A1D7-08420968502F}">
      <dsp:nvSpPr>
        <dsp:cNvPr id="0" name=""/>
        <dsp:cNvSpPr/>
      </dsp:nvSpPr>
      <dsp:spPr>
        <a:xfrm rot="21232162">
          <a:off x="4541367" y="4803220"/>
          <a:ext cx="3667725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42169" y="3273"/>
              </a:lnTo>
            </a:path>
            <a:path>
              <a:moveTo>
                <a:pt x="1925556" y="3273"/>
              </a:moveTo>
              <a:lnTo>
                <a:pt x="3667725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6283537" y="4714801"/>
        <a:ext cx="183386" cy="183386"/>
      </dsp:txXfrm>
    </dsp:sp>
    <dsp:sp modelId="{3AEC872E-CF57-4CBA-B67B-3A7C3ED9C03E}">
      <dsp:nvSpPr>
        <dsp:cNvPr id="0" name=""/>
        <dsp:cNvSpPr/>
      </dsp:nvSpPr>
      <dsp:spPr>
        <a:xfrm>
          <a:off x="8198605" y="4423480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BLAND CHROMATIN</a:t>
          </a:r>
        </a:p>
      </dsp:txBody>
      <dsp:txXfrm>
        <a:off x="8209569" y="4434444"/>
        <a:ext cx="726736" cy="352404"/>
      </dsp:txXfrm>
    </dsp:sp>
    <dsp:sp modelId="{E3731F81-E408-4E1C-A482-BF817C07B0D5}">
      <dsp:nvSpPr>
        <dsp:cNvPr id="0" name=""/>
        <dsp:cNvSpPr/>
      </dsp:nvSpPr>
      <dsp:spPr>
        <a:xfrm rot="21371347">
          <a:off x="8943529" y="4494937"/>
          <a:ext cx="3383349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607090" y="3273"/>
              </a:lnTo>
            </a:path>
            <a:path>
              <a:moveTo>
                <a:pt x="1776258" y="3273"/>
              </a:moveTo>
              <a:lnTo>
                <a:pt x="3383349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</a:t>
          </a:r>
        </a:p>
      </dsp:txBody>
      <dsp:txXfrm>
        <a:off x="10550620" y="4413628"/>
        <a:ext cx="169167" cy="169167"/>
      </dsp:txXfrm>
    </dsp:sp>
    <dsp:sp modelId="{2D07A2AA-14E9-4499-A440-CFC618239BF5}">
      <dsp:nvSpPr>
        <dsp:cNvPr id="0" name=""/>
        <dsp:cNvSpPr/>
      </dsp:nvSpPr>
      <dsp:spPr>
        <a:xfrm>
          <a:off x="12323138" y="4198611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2334102" y="4209575"/>
        <a:ext cx="726736" cy="352404"/>
      </dsp:txXfrm>
    </dsp:sp>
    <dsp:sp modelId="{38F18FE5-8216-48E8-BFB0-86593B0D4ADA}">
      <dsp:nvSpPr>
        <dsp:cNvPr id="0" name=""/>
        <dsp:cNvSpPr/>
      </dsp:nvSpPr>
      <dsp:spPr>
        <a:xfrm rot="209124">
          <a:off x="8944141" y="4710178"/>
          <a:ext cx="3382124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606508" y="3273"/>
              </a:lnTo>
            </a:path>
            <a:path>
              <a:moveTo>
                <a:pt x="1775615" y="3273"/>
              </a:moveTo>
              <a:lnTo>
                <a:pt x="3382124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2</a:t>
          </a:r>
        </a:p>
      </dsp:txBody>
      <dsp:txXfrm>
        <a:off x="10550650" y="4628899"/>
        <a:ext cx="169106" cy="169106"/>
      </dsp:txXfrm>
    </dsp:sp>
    <dsp:sp modelId="{C5128C26-D238-45EC-8009-95D670FD4359}">
      <dsp:nvSpPr>
        <dsp:cNvPr id="0" name=""/>
        <dsp:cNvSpPr/>
      </dsp:nvSpPr>
      <dsp:spPr>
        <a:xfrm>
          <a:off x="12323138" y="4629093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2334102" y="4640057"/>
        <a:ext cx="726736" cy="352404"/>
      </dsp:txXfrm>
    </dsp:sp>
    <dsp:sp modelId="{8FE83A1E-3DC4-41C0-9B71-2126AE2B7C0B}">
      <dsp:nvSpPr>
        <dsp:cNvPr id="0" name=""/>
        <dsp:cNvSpPr/>
      </dsp:nvSpPr>
      <dsp:spPr>
        <a:xfrm rot="640248">
          <a:off x="8917567" y="4925419"/>
          <a:ext cx="3435273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631754" y="3273"/>
              </a:lnTo>
            </a:path>
            <a:path>
              <a:moveTo>
                <a:pt x="1803518" y="3273"/>
              </a:moveTo>
              <a:lnTo>
                <a:pt x="3435273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3</a:t>
          </a:r>
        </a:p>
      </dsp:txBody>
      <dsp:txXfrm>
        <a:off x="10549322" y="4842811"/>
        <a:ext cx="171763" cy="171763"/>
      </dsp:txXfrm>
    </dsp:sp>
    <dsp:sp modelId="{6EBBE531-A816-4AD4-A19E-BFFFDA1B5EB8}">
      <dsp:nvSpPr>
        <dsp:cNvPr id="0" name=""/>
        <dsp:cNvSpPr/>
      </dsp:nvSpPr>
      <dsp:spPr>
        <a:xfrm>
          <a:off x="12323138" y="5059575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2334102" y="5070539"/>
        <a:ext cx="726736" cy="352404"/>
      </dsp:txXfrm>
    </dsp:sp>
    <dsp:sp modelId="{AD8CB1DB-0DAD-403B-ADFB-2A460183A645}">
      <dsp:nvSpPr>
        <dsp:cNvPr id="0" name=""/>
        <dsp:cNvSpPr/>
      </dsp:nvSpPr>
      <dsp:spPr>
        <a:xfrm rot="1052009">
          <a:off x="8865029" y="5140660"/>
          <a:ext cx="3540349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681665" y="3273"/>
              </a:lnTo>
            </a:path>
            <a:path>
              <a:moveTo>
                <a:pt x="1858683" y="3273"/>
              </a:moveTo>
              <a:lnTo>
                <a:pt x="3540349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4</a:t>
          </a:r>
        </a:p>
      </dsp:txBody>
      <dsp:txXfrm>
        <a:off x="10546695" y="5055425"/>
        <a:ext cx="177017" cy="177017"/>
      </dsp:txXfrm>
    </dsp:sp>
    <dsp:sp modelId="{75FC3538-6F78-4B4F-BA89-CA492A03BF2D}">
      <dsp:nvSpPr>
        <dsp:cNvPr id="0" name=""/>
        <dsp:cNvSpPr/>
      </dsp:nvSpPr>
      <dsp:spPr>
        <a:xfrm>
          <a:off x="12323138" y="5490056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2334102" y="5501020"/>
        <a:ext cx="726736" cy="352404"/>
      </dsp:txXfrm>
    </dsp:sp>
    <dsp:sp modelId="{77B69AC8-DAAA-4156-B513-A0FB0A0576B9}">
      <dsp:nvSpPr>
        <dsp:cNvPr id="0" name=""/>
        <dsp:cNvSpPr/>
      </dsp:nvSpPr>
      <dsp:spPr>
        <a:xfrm rot="1434919">
          <a:off x="8788743" y="5355901"/>
          <a:ext cx="369292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54137" y="3273"/>
              </a:lnTo>
            </a:path>
            <a:path>
              <a:moveTo>
                <a:pt x="1938783" y="3273"/>
              </a:moveTo>
              <a:lnTo>
                <a:pt x="369292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5</a:t>
          </a:r>
        </a:p>
      </dsp:txBody>
      <dsp:txXfrm>
        <a:off x="10542880" y="5266852"/>
        <a:ext cx="184646" cy="184646"/>
      </dsp:txXfrm>
    </dsp:sp>
    <dsp:sp modelId="{B1C1A132-5612-4CEA-A1DE-06B75311157A}">
      <dsp:nvSpPr>
        <dsp:cNvPr id="0" name=""/>
        <dsp:cNvSpPr/>
      </dsp:nvSpPr>
      <dsp:spPr>
        <a:xfrm>
          <a:off x="12323138" y="5920538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2334102" y="5931502"/>
        <a:ext cx="726736" cy="352404"/>
      </dsp:txXfrm>
    </dsp:sp>
    <dsp:sp modelId="{0E16C11A-5CA9-4F6F-AE05-7011CAB18C37}">
      <dsp:nvSpPr>
        <dsp:cNvPr id="0" name=""/>
        <dsp:cNvSpPr/>
      </dsp:nvSpPr>
      <dsp:spPr>
        <a:xfrm rot="1783520">
          <a:off x="8691502" y="5571142"/>
          <a:ext cx="3887402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846516" y="3273"/>
              </a:lnTo>
            </a:path>
            <a:path>
              <a:moveTo>
                <a:pt x="2040886" y="3273"/>
              </a:moveTo>
              <a:lnTo>
                <a:pt x="3887402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7</a:t>
          </a:r>
        </a:p>
      </dsp:txBody>
      <dsp:txXfrm>
        <a:off x="10538018" y="5477231"/>
        <a:ext cx="194370" cy="194370"/>
      </dsp:txXfrm>
    </dsp:sp>
    <dsp:sp modelId="{EFF336B8-3290-43F7-8655-F7279E31B683}">
      <dsp:nvSpPr>
        <dsp:cNvPr id="0" name=""/>
        <dsp:cNvSpPr/>
      </dsp:nvSpPr>
      <dsp:spPr>
        <a:xfrm>
          <a:off x="12323138" y="6351020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2334102" y="6361984"/>
        <a:ext cx="726736" cy="352404"/>
      </dsp:txXfrm>
    </dsp:sp>
    <dsp:sp modelId="{4EA03074-18F4-4347-B4DB-0164CA9DF94D}">
      <dsp:nvSpPr>
        <dsp:cNvPr id="0" name=""/>
        <dsp:cNvSpPr/>
      </dsp:nvSpPr>
      <dsp:spPr>
        <a:xfrm rot="36560">
          <a:off x="4551752" y="5018461"/>
          <a:ext cx="3646956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32304" y="3273"/>
              </a:lnTo>
            </a:path>
            <a:path>
              <a:moveTo>
                <a:pt x="1914652" y="3273"/>
              </a:moveTo>
              <a:lnTo>
                <a:pt x="3646956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2</a:t>
          </a:r>
        </a:p>
      </dsp:txBody>
      <dsp:txXfrm>
        <a:off x="6284056" y="4930561"/>
        <a:ext cx="182347" cy="182347"/>
      </dsp:txXfrm>
    </dsp:sp>
    <dsp:sp modelId="{D36F0518-F3FF-4FD0-AE57-092CAC3DBDBF}">
      <dsp:nvSpPr>
        <dsp:cNvPr id="0" name=""/>
        <dsp:cNvSpPr/>
      </dsp:nvSpPr>
      <dsp:spPr>
        <a:xfrm>
          <a:off x="8198605" y="4853961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8209569" y="4864925"/>
        <a:ext cx="726736" cy="352404"/>
      </dsp:txXfrm>
    </dsp:sp>
    <dsp:sp modelId="{3AFA85F1-AF44-4DF4-8F03-F2F851D33419}">
      <dsp:nvSpPr>
        <dsp:cNvPr id="0" name=""/>
        <dsp:cNvSpPr/>
      </dsp:nvSpPr>
      <dsp:spPr>
        <a:xfrm rot="1202431">
          <a:off x="4434335" y="5664184"/>
          <a:ext cx="3881790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843850" y="3273"/>
              </a:lnTo>
            </a:path>
            <a:path>
              <a:moveTo>
                <a:pt x="2037940" y="3273"/>
              </a:moveTo>
              <a:lnTo>
                <a:pt x="3881790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3</a:t>
          </a:r>
        </a:p>
      </dsp:txBody>
      <dsp:txXfrm>
        <a:off x="6278186" y="5570413"/>
        <a:ext cx="194089" cy="194089"/>
      </dsp:txXfrm>
    </dsp:sp>
    <dsp:sp modelId="{EBC341C4-B152-4FDC-90DC-DEB9D5232F1C}">
      <dsp:nvSpPr>
        <dsp:cNvPr id="0" name=""/>
        <dsp:cNvSpPr/>
      </dsp:nvSpPr>
      <dsp:spPr>
        <a:xfrm>
          <a:off x="8198605" y="6145407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CLUMP THICKNESS</a:t>
          </a:r>
        </a:p>
      </dsp:txBody>
      <dsp:txXfrm>
        <a:off x="8209569" y="6156371"/>
        <a:ext cx="726736" cy="352404"/>
      </dsp:txXfrm>
    </dsp:sp>
    <dsp:sp modelId="{C048995E-34E3-4318-BE4B-9E3F01C62F2D}">
      <dsp:nvSpPr>
        <dsp:cNvPr id="0" name=""/>
        <dsp:cNvSpPr/>
      </dsp:nvSpPr>
      <dsp:spPr>
        <a:xfrm rot="571806">
          <a:off x="8914306" y="6724740"/>
          <a:ext cx="4776842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269000" y="3273"/>
              </a:lnTo>
            </a:path>
            <a:path>
              <a:moveTo>
                <a:pt x="2507842" y="3273"/>
              </a:moveTo>
              <a:lnTo>
                <a:pt x="4776842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3</a:t>
          </a:r>
        </a:p>
      </dsp:txBody>
      <dsp:txXfrm>
        <a:off x="11183306" y="6608592"/>
        <a:ext cx="238842" cy="238842"/>
      </dsp:txXfrm>
    </dsp:sp>
    <dsp:sp modelId="{46E99B83-74EF-41D3-A034-E05E1A53C2F6}">
      <dsp:nvSpPr>
        <dsp:cNvPr id="0" name=""/>
        <dsp:cNvSpPr/>
      </dsp:nvSpPr>
      <dsp:spPr>
        <a:xfrm>
          <a:off x="13658185" y="6936288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669149" y="6947252"/>
        <a:ext cx="726736" cy="352404"/>
      </dsp:txXfrm>
    </dsp:sp>
    <dsp:sp modelId="{EB3C08BD-8FFA-487E-AE30-C2541926896C}">
      <dsp:nvSpPr>
        <dsp:cNvPr id="0" name=""/>
        <dsp:cNvSpPr/>
      </dsp:nvSpPr>
      <dsp:spPr>
        <a:xfrm rot="872077">
          <a:off x="8869393" y="6939980"/>
          <a:ext cx="4866667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311667" y="3273"/>
              </a:lnTo>
            </a:path>
            <a:path>
              <a:moveTo>
                <a:pt x="2555000" y="3273"/>
              </a:moveTo>
              <a:lnTo>
                <a:pt x="4866667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8</a:t>
          </a:r>
        </a:p>
      </dsp:txBody>
      <dsp:txXfrm>
        <a:off x="11181061" y="6821588"/>
        <a:ext cx="243333" cy="243333"/>
      </dsp:txXfrm>
    </dsp:sp>
    <dsp:sp modelId="{C6C025CE-221C-4327-A348-9A554704826E}">
      <dsp:nvSpPr>
        <dsp:cNvPr id="0" name=""/>
        <dsp:cNvSpPr/>
      </dsp:nvSpPr>
      <dsp:spPr>
        <a:xfrm>
          <a:off x="13658185" y="7366770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3669149" y="7377734"/>
        <a:ext cx="726736" cy="352404"/>
      </dsp:txXfrm>
    </dsp:sp>
    <dsp:sp modelId="{5146FCCB-5E09-4B76-85D1-D588FE5417E4}">
      <dsp:nvSpPr>
        <dsp:cNvPr id="0" name=""/>
        <dsp:cNvSpPr/>
      </dsp:nvSpPr>
      <dsp:spPr>
        <a:xfrm rot="1860004">
          <a:off x="4248019" y="6094666"/>
          <a:ext cx="4254422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020850" y="3273"/>
              </a:lnTo>
            </a:path>
            <a:path>
              <a:moveTo>
                <a:pt x="2233572" y="3273"/>
              </a:moveTo>
              <a:lnTo>
                <a:pt x="4254422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4</a:t>
          </a:r>
        </a:p>
      </dsp:txBody>
      <dsp:txXfrm>
        <a:off x="6268870" y="5991579"/>
        <a:ext cx="212721" cy="212721"/>
      </dsp:txXfrm>
    </dsp:sp>
    <dsp:sp modelId="{2BE3BEDF-E831-4CB3-AAE8-76482441249E}">
      <dsp:nvSpPr>
        <dsp:cNvPr id="0" name=""/>
        <dsp:cNvSpPr/>
      </dsp:nvSpPr>
      <dsp:spPr>
        <a:xfrm>
          <a:off x="8198605" y="7006371"/>
          <a:ext cx="748664" cy="37433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CLUMP THICKNESS</a:t>
          </a:r>
        </a:p>
      </dsp:txBody>
      <dsp:txXfrm>
        <a:off x="8209569" y="7017335"/>
        <a:ext cx="726736" cy="352404"/>
      </dsp:txXfrm>
    </dsp:sp>
    <dsp:sp modelId="{3A4FE33A-4B6F-4151-BC36-1F5DECDE4DFD}">
      <dsp:nvSpPr>
        <dsp:cNvPr id="0" name=""/>
        <dsp:cNvSpPr/>
      </dsp:nvSpPr>
      <dsp:spPr>
        <a:xfrm rot="1102307">
          <a:off x="8827002" y="7933976"/>
          <a:ext cx="4719267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241652" y="3273"/>
              </a:lnTo>
            </a:path>
            <a:path>
              <a:moveTo>
                <a:pt x="2477615" y="3273"/>
              </a:moveTo>
              <a:lnTo>
                <a:pt x="4719267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5</a:t>
          </a:r>
        </a:p>
      </dsp:txBody>
      <dsp:txXfrm>
        <a:off x="11068654" y="7819268"/>
        <a:ext cx="235963" cy="235963"/>
      </dsp:txXfrm>
    </dsp:sp>
    <dsp:sp modelId="{DCC97DC4-8449-4922-98B5-1BD41AF696A5}">
      <dsp:nvSpPr>
        <dsp:cNvPr id="0" name=""/>
        <dsp:cNvSpPr/>
      </dsp:nvSpPr>
      <dsp:spPr>
        <a:xfrm>
          <a:off x="13426002" y="8493797"/>
          <a:ext cx="748664" cy="374332"/>
        </a:xfrm>
        <a:prstGeom prst="roundRect">
          <a:avLst>
            <a:gd name="adj" fmla="val 10000"/>
          </a:avLst>
        </a:prstGeom>
        <a:solidFill>
          <a:schemeClr val="accent2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F</a:t>
          </a:r>
        </a:p>
      </dsp:txBody>
      <dsp:txXfrm>
        <a:off x="13436966" y="8504761"/>
        <a:ext cx="726736" cy="352404"/>
      </dsp:txXfrm>
    </dsp:sp>
    <dsp:sp modelId="{B7DD2FF8-6783-48C5-BF7D-9BBBFF1FADFC}">
      <dsp:nvSpPr>
        <dsp:cNvPr id="0" name=""/>
        <dsp:cNvSpPr/>
      </dsp:nvSpPr>
      <dsp:spPr>
        <a:xfrm rot="1396304">
          <a:off x="8749798" y="8149217"/>
          <a:ext cx="4854328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305806" y="3273"/>
              </a:lnTo>
            </a:path>
            <a:path>
              <a:moveTo>
                <a:pt x="2548522" y="3273"/>
              </a:moveTo>
              <a:lnTo>
                <a:pt x="4854328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7</a:t>
          </a:r>
        </a:p>
      </dsp:txBody>
      <dsp:txXfrm>
        <a:off x="11055605" y="8031133"/>
        <a:ext cx="242716" cy="242716"/>
      </dsp:txXfrm>
    </dsp:sp>
    <dsp:sp modelId="{6ABBA769-A237-496B-B6DC-5B06372CF4E3}">
      <dsp:nvSpPr>
        <dsp:cNvPr id="0" name=""/>
        <dsp:cNvSpPr/>
      </dsp:nvSpPr>
      <dsp:spPr>
        <a:xfrm>
          <a:off x="13406657" y="8924279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13417621" y="8935243"/>
        <a:ext cx="726736" cy="352404"/>
      </dsp:txXfrm>
    </dsp:sp>
    <dsp:sp modelId="{8921587A-3FC0-4F0D-BE9E-EB3318B3AD18}">
      <dsp:nvSpPr>
        <dsp:cNvPr id="0" name=""/>
        <dsp:cNvSpPr/>
      </dsp:nvSpPr>
      <dsp:spPr>
        <a:xfrm rot="2142758">
          <a:off x="4129570" y="6309907"/>
          <a:ext cx="449132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133377" y="3273"/>
              </a:lnTo>
            </a:path>
            <a:path>
              <a:moveTo>
                <a:pt x="2357943" y="3273"/>
              </a:moveTo>
              <a:lnTo>
                <a:pt x="449132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6</a:t>
          </a:r>
        </a:p>
      </dsp:txBody>
      <dsp:txXfrm>
        <a:off x="6262947" y="6200898"/>
        <a:ext cx="224566" cy="224566"/>
      </dsp:txXfrm>
    </dsp:sp>
    <dsp:sp modelId="{4EA0C507-EC4F-41AC-85CB-797342E073FE}">
      <dsp:nvSpPr>
        <dsp:cNvPr id="0" name=""/>
        <dsp:cNvSpPr/>
      </dsp:nvSpPr>
      <dsp:spPr>
        <a:xfrm>
          <a:off x="8198605" y="7436852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8209569" y="7447816"/>
        <a:ext cx="726736" cy="352404"/>
      </dsp:txXfrm>
    </dsp:sp>
    <dsp:sp modelId="{E63256BC-891C-479A-BB09-95EA6E35B16F}">
      <dsp:nvSpPr>
        <dsp:cNvPr id="0" name=""/>
        <dsp:cNvSpPr/>
      </dsp:nvSpPr>
      <dsp:spPr>
        <a:xfrm rot="2395664">
          <a:off x="3997498" y="6525148"/>
          <a:ext cx="4755465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258845" y="3273"/>
              </a:lnTo>
            </a:path>
            <a:path>
              <a:moveTo>
                <a:pt x="2496619" y="3273"/>
              </a:moveTo>
              <a:lnTo>
                <a:pt x="4755465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7</a:t>
          </a:r>
        </a:p>
      </dsp:txBody>
      <dsp:txXfrm>
        <a:off x="6256344" y="6409535"/>
        <a:ext cx="237773" cy="237773"/>
      </dsp:txXfrm>
    </dsp:sp>
    <dsp:sp modelId="{1BBB41D4-F1B3-4963-8E1C-E9C26CDE9C75}">
      <dsp:nvSpPr>
        <dsp:cNvPr id="0" name=""/>
        <dsp:cNvSpPr/>
      </dsp:nvSpPr>
      <dsp:spPr>
        <a:xfrm>
          <a:off x="8198605" y="7867334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8209569" y="7878298"/>
        <a:ext cx="726736" cy="352404"/>
      </dsp:txXfrm>
    </dsp:sp>
    <dsp:sp modelId="{5D705C64-9DFE-4578-969A-727A81F4201A}">
      <dsp:nvSpPr>
        <dsp:cNvPr id="0" name=""/>
        <dsp:cNvSpPr/>
      </dsp:nvSpPr>
      <dsp:spPr>
        <a:xfrm rot="2620881">
          <a:off x="3853943" y="6740389"/>
          <a:ext cx="5042574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395223" y="3273"/>
              </a:lnTo>
            </a:path>
            <a:path>
              <a:moveTo>
                <a:pt x="2647351" y="3273"/>
              </a:moveTo>
              <a:lnTo>
                <a:pt x="5042574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8</a:t>
          </a:r>
        </a:p>
      </dsp:txBody>
      <dsp:txXfrm>
        <a:off x="6249166" y="6617598"/>
        <a:ext cx="252128" cy="252128"/>
      </dsp:txXfrm>
    </dsp:sp>
    <dsp:sp modelId="{6C83BF9F-4FC0-45B3-A6FE-CB6BCB5CAF4D}">
      <dsp:nvSpPr>
        <dsp:cNvPr id="0" name=""/>
        <dsp:cNvSpPr/>
      </dsp:nvSpPr>
      <dsp:spPr>
        <a:xfrm>
          <a:off x="8198605" y="8297816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8209569" y="8308780"/>
        <a:ext cx="726736" cy="352404"/>
      </dsp:txXfrm>
    </dsp:sp>
    <dsp:sp modelId="{E5FAC94E-1C4B-443B-B281-8F60D5F40EC1}">
      <dsp:nvSpPr>
        <dsp:cNvPr id="0" name=""/>
        <dsp:cNvSpPr/>
      </dsp:nvSpPr>
      <dsp:spPr>
        <a:xfrm rot="2821078">
          <a:off x="3700754" y="6955629"/>
          <a:ext cx="5348953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2540752" y="3273"/>
              </a:lnTo>
            </a:path>
            <a:path>
              <a:moveTo>
                <a:pt x="2808200" y="3273"/>
              </a:moveTo>
              <a:lnTo>
                <a:pt x="5348953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10</a:t>
          </a:r>
        </a:p>
      </dsp:txBody>
      <dsp:txXfrm>
        <a:off x="6241506" y="6825180"/>
        <a:ext cx="267447" cy="267447"/>
      </dsp:txXfrm>
    </dsp:sp>
    <dsp:sp modelId="{E17BAC59-B307-44B1-AB82-FDA90FC86DD7}">
      <dsp:nvSpPr>
        <dsp:cNvPr id="0" name=""/>
        <dsp:cNvSpPr/>
      </dsp:nvSpPr>
      <dsp:spPr>
        <a:xfrm>
          <a:off x="8198605" y="8728298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8209569" y="8739262"/>
        <a:ext cx="726736" cy="352404"/>
      </dsp:txXfrm>
    </dsp:sp>
    <dsp:sp modelId="{26EB1BB0-09D7-46FC-A570-2F684DE8AF1A}">
      <dsp:nvSpPr>
        <dsp:cNvPr id="0" name=""/>
        <dsp:cNvSpPr/>
      </dsp:nvSpPr>
      <dsp:spPr>
        <a:xfrm rot="2720285">
          <a:off x="492550" y="6444520"/>
          <a:ext cx="3729111" cy="6547"/>
        </a:xfrm>
        <a:custGeom>
          <a:avLst/>
          <a:gdLst/>
          <a:ahLst/>
          <a:cxnLst/>
          <a:rect l="0" t="0" r="0" b="0"/>
          <a:pathLst>
            <a:path>
              <a:moveTo>
                <a:pt x="0" y="3273"/>
              </a:moveTo>
              <a:lnTo>
                <a:pt x="1771327" y="3273"/>
              </a:lnTo>
            </a:path>
            <a:path>
              <a:moveTo>
                <a:pt x="1957783" y="3273"/>
              </a:moveTo>
              <a:lnTo>
                <a:pt x="3729111" y="3273"/>
              </a:lnTo>
            </a:path>
          </a:pathLst>
        </a:custGeom>
        <a:noFill/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10</a:t>
          </a:r>
        </a:p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050" kern="1200"/>
        </a:p>
      </dsp:txBody>
      <dsp:txXfrm>
        <a:off x="2263878" y="6272992"/>
        <a:ext cx="186455" cy="349604"/>
      </dsp:txXfrm>
    </dsp:sp>
    <dsp:sp modelId="{25B1F19D-37E2-486E-BD37-55A81223D911}">
      <dsp:nvSpPr>
        <dsp:cNvPr id="0" name=""/>
        <dsp:cNvSpPr/>
      </dsp:nvSpPr>
      <dsp:spPr>
        <a:xfrm>
          <a:off x="3667743" y="7586825"/>
          <a:ext cx="748664" cy="374332"/>
        </a:xfrm>
        <a:prstGeom prst="roundRect">
          <a:avLst>
            <a:gd name="adj" fmla="val 10000"/>
          </a:avLst>
        </a:prstGeom>
        <a:solidFill>
          <a:srgbClr val="92D050"/>
        </a:solidFill>
        <a:ln w="9525" cap="flat" cmpd="sng" algn="ctr">
          <a:solidFill>
            <a:sysClr val="windowText" lastClr="00000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985" tIns="6985" rIns="6985" bIns="6985" numCol="1" spcCol="1270" anchor="ctr" anchorCtr="0">
          <a:noAutofit/>
        </a:bodyPr>
        <a:lstStyle/>
        <a:p>
          <a:pPr lvl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050" kern="1200"/>
            <a:t>T</a:t>
          </a:r>
        </a:p>
      </dsp:txBody>
      <dsp:txXfrm>
        <a:off x="3678707" y="7597789"/>
        <a:ext cx="726736" cy="35240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2">
  <dgm:title val=""/>
  <dgm:desc val=""/>
  <dgm:catLst>
    <dgm:cat type="hierarchy" pri="5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diagram">
    <dgm:varLst>
      <dgm:chPref val="1"/>
      <dgm:dir/>
      <dgm:animOne val="branch"/>
      <dgm:animLvl val="lvl"/>
      <dgm:resizeHandles val="exact"/>
    </dgm:varLst>
    <dgm:choose name="Name0">
      <dgm:if name="Name1" func="var" arg="dir" op="equ" val="norm">
        <dgm:alg type="hierChild">
          <dgm:param type="linDir" val="fromT"/>
          <dgm:param type="chAlign" val="l"/>
        </dgm:alg>
      </dgm:if>
      <dgm:else name="Name2">
        <dgm:alg type="hierChild">
          <dgm:param type="linDir" val="fromT"/>
          <dgm:param type="chAlign" val="r"/>
        </dgm:alg>
      </dgm:else>
    </dgm:choose>
    <dgm:shape xmlns:r="http://schemas.openxmlformats.org/officeDocument/2006/relationships" r:blip="">
      <dgm:adjLst/>
    </dgm:shape>
    <dgm:presOf/>
    <dgm:constrLst>
      <dgm:constr type="h" for="des" ptType="node" refType="h"/>
      <dgm:constr type="w" for="des" ptType="node" refType="h" refFor="des" refPtType="node" fact="2"/>
      <dgm:constr type="sibSp" refType="h" refFor="des" refPtType="node" op="equ" fact="0.15"/>
      <dgm:constr type="sibSp" for="des" forName="level2hierChild" refType="h" refFor="des" refPtType="node" op="equ" fact="0.15"/>
      <dgm:constr type="sibSp" for="des" forName="level3hierChild" refType="h" refFor="des" refPtType="node" op="equ" fact="0.15"/>
      <dgm:constr type="sp" for="des" forName="root1" refType="w" refFor="des" refPtType="node" fact="0.4"/>
      <dgm:constr type="sp" for="des" forName="root2" refType="sp" refFor="des" refForName="root1" op="equ"/>
      <dgm:constr type="primFontSz" for="des" ptType="node" op="equ" val="65"/>
      <dgm:constr type="primFontSz" for="des" forName="connTx" op="equ" val="55"/>
      <dgm:constr type="primFontSz" for="des" forName="connTx" refType="primFontSz" refFor="des" refPtType="node" op="lte" fact="0.8"/>
    </dgm:constrLst>
    <dgm:ruleLst/>
    <dgm:forEach name="Name3" axis="ch">
      <dgm:forEach name="Name4" axis="self" ptType="node">
        <dgm:layoutNode name="root1">
          <dgm:choose name="Name5">
            <dgm:if name="Name6" func="var" arg="dir" op="equ" val="norm">
              <dgm:alg type="hierRoot">
                <dgm:param type="hierAlign" val="lCtrCh"/>
              </dgm:alg>
            </dgm:if>
            <dgm:else name="Name7">
              <dgm:alg type="hierRoot">
                <dgm:param type="hierAlign" val="rCtrCh"/>
              </dgm:alg>
            </dgm:else>
          </dgm:choose>
          <dgm:shape xmlns:r="http://schemas.openxmlformats.org/officeDocument/2006/relationships" r:blip="">
            <dgm:adjLst/>
          </dgm:shape>
          <dgm:presOf/>
          <dgm:constrLst/>
          <dgm:ruleLst/>
          <dgm:layoutNode name="LevelOneTextNode" styleLbl="node0">
            <dgm:varLst>
              <dgm:chPref val="3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05"/>
              <dgm:constr type="bMarg" refType="primFontSz" fact="0.05"/>
              <dgm:constr type="lMarg" refType="primFontSz" fact="0.05"/>
              <dgm:constr type="rMarg" refType="primFontSz" fact="0.05"/>
            </dgm:constrLst>
            <dgm:ruleLst>
              <dgm:rule type="primFontSz" val="5" fact="NaN" max="NaN"/>
            </dgm:ruleLst>
          </dgm:layoutNode>
          <dgm:layoutNode name="level2hierChild">
            <dgm:choose name="Name8">
              <dgm:if name="Name9" func="var" arg="dir" op="equ" val="norm">
                <dgm:alg type="hierChild">
                  <dgm:param type="linDir" val="fromT"/>
                  <dgm:param type="chAlign" val="l"/>
                </dgm:alg>
              </dgm:if>
              <dgm:else name="Name10">
                <dgm:alg type="hierChild">
                  <dgm:param type="linDir" val="fromT"/>
                  <dgm:param type="chAlign" val="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eat" axis="ch">
              <dgm:forEach name="Name11" axis="self" ptType="parTrans" cnt="1">
                <dgm:layoutNode name="conn2-1">
                  <dgm:choose name="Name12">
                    <dgm:if name="Name13" func="var" arg="dir" op="equ" val="norm">
                      <dgm:alg type="conn">
                        <dgm:param type="dim" val="1D"/>
                        <dgm:param type="begPts" val="midR"/>
                        <dgm:param type="endPts" val="midL"/>
                        <dgm:param type="endSty" val="noArr"/>
                      </dgm:alg>
                    </dgm:if>
                    <dgm:else name="Name14">
                      <dgm:alg type="conn">
                        <dgm:param type="dim" val="1D"/>
                        <dgm:param type="begPts" val="midL"/>
                        <dgm:param type="endPts" val="midR"/>
                        <dgm:param type="endSty" val="noArr"/>
                      </dgm:alg>
                    </dgm:else>
                  </dgm:choose>
                  <dgm:shape xmlns:r="http://schemas.openxmlformats.org/officeDocument/2006/relationships" type="conn" r:blip="">
                    <dgm:adjLst/>
                  </dgm:shape>
                  <dgm:presOf axis="self"/>
                  <dgm:constrLst>
                    <dgm:constr type="w" val="1"/>
                    <dgm:constr type="h" val="5"/>
                    <dgm:constr type="connDist"/>
                    <dgm:constr type="begPad"/>
                    <dgm:constr type="endPad"/>
                    <dgm:constr type="userA" for="ch" refType="connDist"/>
                  </dgm:constrLst>
                  <dgm:ruleLst/>
                  <dgm:layoutNode name="connTx">
                    <dgm:alg type="tx">
                      <dgm:param type="autoTxRot" val="grav"/>
                    </dgm:alg>
                    <dgm:shape xmlns:r="http://schemas.openxmlformats.org/officeDocument/2006/relationships" type="rect" r:blip="" hideGeom="1">
                      <dgm:adjLst/>
                    </dgm:shape>
                    <dgm:presOf axis="self"/>
                    <dgm:constrLst>
                      <dgm:constr type="userA"/>
                      <dgm:constr type="w" refType="userA" fact="0.05"/>
                      <dgm:constr type="h" refType="userA" fact="0.05"/>
                      <dgm:constr type="lMarg" val="1"/>
                      <dgm:constr type="rMarg" val="1"/>
                      <dgm:constr type="tMarg"/>
                      <dgm:constr type="bMarg"/>
                    </dgm:constrLst>
                    <dgm:ruleLst>
                      <dgm:rule type="h" val="NaN" fact="0.25" max="NaN"/>
                      <dgm:rule type="w" val="NaN" fact="0.8" max="NaN"/>
                      <dgm:rule type="primFontSz" val="5" fact="NaN" max="NaN"/>
                    </dgm:ruleLst>
                  </dgm:layoutNode>
                </dgm:layoutNode>
              </dgm:forEach>
              <dgm:forEach name="Name15" axis="self" ptType="node">
                <dgm:layoutNode name="root2">
                  <dgm:choose name="Name16">
                    <dgm:if name="Name17" func="var" arg="dir" op="equ" val="norm">
                      <dgm:alg type="hierRoot">
                        <dgm:param type="hierAlign" val="lCtrCh"/>
                      </dgm:alg>
                    </dgm:if>
                    <dgm:else name="Name18">
                      <dgm:alg type="hierRoot">
                        <dgm:param type="hierAlign" val="rCtrCh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layoutNode name="LevelTwoTextNode">
                    <dgm:varLst>
                      <dgm:chPref val="3"/>
                    </dgm:varLst>
                    <dgm:alg type="tx"/>
                    <dgm:shape xmlns:r="http://schemas.openxmlformats.org/officeDocument/2006/relationships" type="roundRect" r:blip="">
                      <dgm:adjLst>
                        <dgm:adj idx="1" val="0.1"/>
                      </dgm:adjLst>
                    </dgm:shape>
                    <dgm:presOf axis="self"/>
                    <dgm:constrLst>
                      <dgm:constr type="tMarg" refType="primFontSz" fact="0.05"/>
                      <dgm:constr type="bMarg" refType="primFontSz" fact="0.05"/>
                      <dgm:constr type="lMarg" refType="primFontSz" fact="0.05"/>
                      <dgm:constr type="r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level3hierChild">
                    <dgm:choose name="Name19">
                      <dgm:if name="Name20" func="var" arg="dir" op="equ" val="norm">
                        <dgm:alg type="hierChild">
                          <dgm:param type="linDir" val="fromT"/>
                          <dgm:param type="chAlign" val="l"/>
                        </dgm:alg>
                      </dgm:if>
                      <dgm:else name="Name21">
                        <dgm:alg type="hierChild">
                          <dgm:param type="linDir" val="fromT"/>
                          <dgm:param type="chAlign" val="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22" ref="repeat"/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4" Type="http://schemas.openxmlformats.org/officeDocument/2006/relationships/diagramColors" Target="../diagrams/colors1.xml"/><Relationship Id="rId5" Type="http://schemas.microsoft.com/office/2007/relationships/diagramDrawing" Target="../diagrams/drawing1.xml"/><Relationship Id="rId1" Type="http://schemas.openxmlformats.org/officeDocument/2006/relationships/diagramData" Target="../diagrams/data1.xml"/><Relationship Id="rId2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0</xdr:row>
      <xdr:rowOff>19049</xdr:rowOff>
    </xdr:from>
    <xdr:to>
      <xdr:col>32</xdr:col>
      <xdr:colOff>410883</xdr:colOff>
      <xdr:row>50</xdr:row>
      <xdr:rowOff>149411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89:L788" totalsRowShown="0" headerRowDxfId="26" dataDxfId="25">
  <autoFilter ref="A89:L788"/>
  <sortState ref="A90:L473">
    <sortCondition ref="G89:G788"/>
  </sortState>
  <tableColumns count="12">
    <tableColumn id="1" name="Column1" dataDxfId="24"/>
    <tableColumn id="2" name="clump_thickness" dataDxfId="23"/>
    <tableColumn id="3" name=" uniformity_of_cell_size" dataDxfId="22"/>
    <tableColumn id="4" name=" uniformity_of_cell_shape" dataDxfId="21"/>
    <tableColumn id="5" name=" marginal_adhersion" dataDxfId="20"/>
    <tableColumn id="6" name=" single_epithelial" dataDxfId="19"/>
    <tableColumn id="7" name=" bare_nucleoli" dataDxfId="18"/>
    <tableColumn id="8" name=" bland_chromatin" dataDxfId="17"/>
    <tableColumn id="9" name=" normal_nucleoli" dataDxfId="16"/>
    <tableColumn id="10" name=" mitoses" dataDxfId="15"/>
    <tableColumn id="11" name="Class" dataDxfId="14"/>
    <tableColumn id="12" name="Malignant?" dataDxfId="13">
      <calculatedColumnFormula>IF(K90=4, TRUE, FALSE)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2:K701" totalsRowShown="0" headerRowDxfId="12" dataDxfId="11">
  <autoFilter ref="A2:K701"/>
  <sortState ref="A629:K634">
    <sortCondition ref="A2:A701"/>
  </sortState>
  <tableColumns count="11">
    <tableColumn id="2" name="clump_thickness" dataDxfId="10"/>
    <tableColumn id="3" name=" uniformity_of_cell_size" dataDxfId="9"/>
    <tableColumn id="4" name=" uniformity_of_cell_shape" dataDxfId="8"/>
    <tableColumn id="5" name=" marginal_adhersion" dataDxfId="7"/>
    <tableColumn id="6" name=" single_epithelial" dataDxfId="6"/>
    <tableColumn id="7" name=" bare_nucleoli" dataDxfId="5"/>
    <tableColumn id="8" name=" bland_chromatin" dataDxfId="4"/>
    <tableColumn id="9" name=" normal_nucleoli" dataDxfId="3"/>
    <tableColumn id="10" name=" mitoses" dataDxfId="2"/>
    <tableColumn id="11" name="Class" dataDxfId="1"/>
    <tableColumn id="12" name="Malignant?" dataDxfId="0">
      <calculatedColumnFormula>IF(J3=4, TRUE, FALSE)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788"/>
  <sheetViews>
    <sheetView workbookViewId="0">
      <selection activeCell="F25" sqref="F25"/>
    </sheetView>
  </sheetViews>
  <sheetFormatPr baseColWidth="10" defaultColWidth="8.83203125" defaultRowHeight="15" x14ac:dyDescent="0"/>
  <cols>
    <col min="1" max="1" width="13.1640625" style="2" bestFit="1" customWidth="1"/>
    <col min="2" max="2" width="8.1640625" style="2" customWidth="1"/>
    <col min="3" max="3" width="5.83203125" style="2" customWidth="1"/>
    <col min="4" max="4" width="6.33203125" style="2" customWidth="1"/>
    <col min="5" max="5" width="5.5" style="2" customWidth="1"/>
    <col min="6" max="6" width="5.83203125" style="2" bestFit="1" customWidth="1"/>
    <col min="7" max="7" width="6.83203125" style="2" bestFit="1" customWidth="1"/>
    <col min="8" max="8" width="5.6640625" style="2" customWidth="1"/>
    <col min="9" max="9" width="6.6640625" style="2" customWidth="1"/>
    <col min="10" max="10" width="5.5" style="2" customWidth="1"/>
    <col min="11" max="11" width="12.1640625" style="2" bestFit="1" customWidth="1"/>
    <col min="12" max="12" width="9.5" style="2" customWidth="1"/>
    <col min="13" max="256" width="11" style="2" customWidth="1"/>
    <col min="257" max="16384" width="8.83203125" style="2"/>
  </cols>
  <sheetData>
    <row r="1" spans="1:23" ht="1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9</v>
      </c>
      <c r="K1" s="1" t="s">
        <v>10</v>
      </c>
      <c r="L1" s="1" t="s">
        <v>16</v>
      </c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>
      <c r="A2" s="4" t="s">
        <v>11</v>
      </c>
    </row>
    <row r="3" spans="1:23">
      <c r="A3" s="2">
        <v>1</v>
      </c>
      <c r="B3" s="5">
        <f t="shared" ref="B3:K12" si="0">COUNTIF(B$90:B$788, "="&amp;$A3)/COUNTA(B$90:B$788)</f>
        <v>0.20743919885550788</v>
      </c>
      <c r="C3" s="5">
        <f t="shared" si="0"/>
        <v>0.54935622317596566</v>
      </c>
      <c r="D3" s="5">
        <f t="shared" si="0"/>
        <v>0.50500715307582256</v>
      </c>
      <c r="E3" s="5">
        <f t="shared" si="0"/>
        <v>0.58226037195994274</v>
      </c>
      <c r="F3" s="5">
        <f t="shared" si="0"/>
        <v>6.7238912732474967E-2</v>
      </c>
      <c r="G3" s="5">
        <f t="shared" si="0"/>
        <v>0.57510729613733902</v>
      </c>
      <c r="H3" s="5">
        <f t="shared" si="0"/>
        <v>0.21745350500715308</v>
      </c>
      <c r="I3" s="5">
        <f t="shared" si="0"/>
        <v>0.63376251788268956</v>
      </c>
      <c r="J3" s="5">
        <f t="shared" si="0"/>
        <v>0.8283261802575107</v>
      </c>
      <c r="K3" s="5">
        <f t="shared" si="0"/>
        <v>0</v>
      </c>
      <c r="M3" s="5"/>
    </row>
    <row r="4" spans="1:23">
      <c r="A4" s="2">
        <v>2</v>
      </c>
      <c r="B4" s="5">
        <f t="shared" si="0"/>
        <v>7.1530758226037203E-2</v>
      </c>
      <c r="C4" s="5">
        <f t="shared" si="0"/>
        <v>6.4377682403433473E-2</v>
      </c>
      <c r="D4" s="5">
        <f t="shared" si="0"/>
        <v>8.4406294706723894E-2</v>
      </c>
      <c r="E4" s="5">
        <f t="shared" si="0"/>
        <v>8.2975679542203154E-2</v>
      </c>
      <c r="F4" s="5">
        <f t="shared" si="0"/>
        <v>0.55221745350500717</v>
      </c>
      <c r="G4" s="5">
        <f t="shared" si="0"/>
        <v>4.2918454935622317E-2</v>
      </c>
      <c r="H4" s="5">
        <f t="shared" si="0"/>
        <v>0.2374821173104435</v>
      </c>
      <c r="I4" s="5">
        <f t="shared" si="0"/>
        <v>5.1502145922746781E-2</v>
      </c>
      <c r="J4" s="5">
        <f t="shared" si="0"/>
        <v>5.007153075822604E-2</v>
      </c>
      <c r="K4" s="5">
        <f t="shared" si="0"/>
        <v>0.65522174535050071</v>
      </c>
      <c r="M4" s="5"/>
    </row>
    <row r="5" spans="1:23">
      <c r="A5" s="2">
        <v>3</v>
      </c>
      <c r="B5" s="5">
        <f t="shared" si="0"/>
        <v>0.15450643776824036</v>
      </c>
      <c r="C5" s="5">
        <f t="shared" si="0"/>
        <v>7.4391988555078684E-2</v>
      </c>
      <c r="D5" s="5">
        <f t="shared" si="0"/>
        <v>8.0114449213161659E-2</v>
      </c>
      <c r="E5" s="5">
        <f t="shared" si="0"/>
        <v>8.2975679542203154E-2</v>
      </c>
      <c r="F5" s="5">
        <f t="shared" si="0"/>
        <v>0.10300429184549356</v>
      </c>
      <c r="G5" s="5">
        <f t="shared" si="0"/>
        <v>4.005722460658083E-2</v>
      </c>
      <c r="H5" s="5">
        <f t="shared" si="0"/>
        <v>0.23605150214592274</v>
      </c>
      <c r="I5" s="5">
        <f t="shared" si="0"/>
        <v>6.2947067238912732E-2</v>
      </c>
      <c r="J5" s="5">
        <f t="shared" si="0"/>
        <v>4.7210300429184553E-2</v>
      </c>
      <c r="K5" s="5">
        <f t="shared" si="0"/>
        <v>0</v>
      </c>
      <c r="M5" s="5"/>
    </row>
    <row r="6" spans="1:23">
      <c r="A6" s="2">
        <v>4</v>
      </c>
      <c r="B6" s="5">
        <f t="shared" si="0"/>
        <v>0.11444921316165951</v>
      </c>
      <c r="C6" s="5">
        <f t="shared" si="0"/>
        <v>5.7224606580829757E-2</v>
      </c>
      <c r="D6" s="5">
        <f t="shared" si="0"/>
        <v>6.2947067238912732E-2</v>
      </c>
      <c r="E6" s="5">
        <f t="shared" si="0"/>
        <v>4.7210300429184553E-2</v>
      </c>
      <c r="F6" s="5">
        <f t="shared" si="0"/>
        <v>6.8669527896995708E-2</v>
      </c>
      <c r="G6" s="5">
        <f t="shared" si="0"/>
        <v>2.7181688125894134E-2</v>
      </c>
      <c r="H6" s="5">
        <f t="shared" si="0"/>
        <v>5.7224606580829757E-2</v>
      </c>
      <c r="I6" s="5">
        <f t="shared" si="0"/>
        <v>2.575107296137339E-2</v>
      </c>
      <c r="J6" s="5">
        <f t="shared" si="0"/>
        <v>1.7167381974248927E-2</v>
      </c>
      <c r="K6" s="5">
        <f t="shared" si="0"/>
        <v>0.34477825464949929</v>
      </c>
      <c r="M6" s="5"/>
    </row>
    <row r="7" spans="1:23">
      <c r="A7" s="2">
        <v>5</v>
      </c>
      <c r="B7" s="5">
        <f t="shared" si="0"/>
        <v>0.1859799713876967</v>
      </c>
      <c r="C7" s="5">
        <f t="shared" si="0"/>
        <v>4.2918454935622317E-2</v>
      </c>
      <c r="D7" s="5">
        <f t="shared" si="0"/>
        <v>4.8640915593705293E-2</v>
      </c>
      <c r="E7" s="5">
        <f t="shared" si="0"/>
        <v>3.2904148783977114E-2</v>
      </c>
      <c r="F7" s="5">
        <f t="shared" si="0"/>
        <v>5.5793991416309016E-2</v>
      </c>
      <c r="G7" s="5">
        <f t="shared" si="0"/>
        <v>4.2918454935622317E-2</v>
      </c>
      <c r="H7" s="5">
        <f t="shared" si="0"/>
        <v>4.8640915593705293E-2</v>
      </c>
      <c r="I7" s="5">
        <f t="shared" si="0"/>
        <v>2.7181688125894134E-2</v>
      </c>
      <c r="J7" s="5">
        <f t="shared" si="0"/>
        <v>8.5836909871244635E-3</v>
      </c>
      <c r="K7" s="5">
        <f t="shared" si="0"/>
        <v>0</v>
      </c>
      <c r="M7" s="5"/>
    </row>
    <row r="8" spans="1:23">
      <c r="A8" s="2">
        <v>6</v>
      </c>
      <c r="B8" s="5">
        <f t="shared" si="0"/>
        <v>4.8640915593705293E-2</v>
      </c>
      <c r="C8" s="5">
        <f t="shared" si="0"/>
        <v>3.8626609442060089E-2</v>
      </c>
      <c r="D8" s="5">
        <f t="shared" si="0"/>
        <v>4.2918454935622317E-2</v>
      </c>
      <c r="E8" s="5">
        <f t="shared" si="0"/>
        <v>3.1473533619456366E-2</v>
      </c>
      <c r="F8" s="5">
        <f t="shared" si="0"/>
        <v>5.8655221745350504E-2</v>
      </c>
      <c r="G8" s="5">
        <f t="shared" si="0"/>
        <v>5.7224606580829757E-3</v>
      </c>
      <c r="H8" s="5">
        <f t="shared" si="0"/>
        <v>1.4306151645207439E-2</v>
      </c>
      <c r="I8" s="5">
        <f t="shared" si="0"/>
        <v>3.1473533619456366E-2</v>
      </c>
      <c r="J8" s="5">
        <f t="shared" si="0"/>
        <v>4.2918454935622317E-3</v>
      </c>
      <c r="K8" s="5">
        <f t="shared" si="0"/>
        <v>0</v>
      </c>
      <c r="M8" s="5"/>
    </row>
    <row r="9" spans="1:23">
      <c r="A9" s="2">
        <v>7</v>
      </c>
      <c r="B9" s="5">
        <f t="shared" si="0"/>
        <v>3.2904148783977114E-2</v>
      </c>
      <c r="C9" s="5">
        <f t="shared" si="0"/>
        <v>2.7181688125894134E-2</v>
      </c>
      <c r="D9" s="5">
        <f t="shared" si="0"/>
        <v>4.2918454935622317E-2</v>
      </c>
      <c r="E9" s="5">
        <f t="shared" si="0"/>
        <v>1.8597997138769671E-2</v>
      </c>
      <c r="F9" s="5">
        <f t="shared" si="0"/>
        <v>1.7167381974248927E-2</v>
      </c>
      <c r="G9" s="5">
        <f t="shared" si="0"/>
        <v>1.1444921316165951E-2</v>
      </c>
      <c r="H9" s="5">
        <f t="shared" si="0"/>
        <v>0.1044349070100143</v>
      </c>
      <c r="I9" s="5">
        <f t="shared" si="0"/>
        <v>2.2889842632331903E-2</v>
      </c>
      <c r="J9" s="5">
        <f t="shared" si="0"/>
        <v>1.2875536480686695E-2</v>
      </c>
      <c r="K9" s="5">
        <f t="shared" si="0"/>
        <v>0</v>
      </c>
      <c r="M9" s="5"/>
    </row>
    <row r="10" spans="1:23">
      <c r="A10" s="2">
        <v>8</v>
      </c>
      <c r="B10" s="5">
        <f t="shared" si="0"/>
        <v>6.5808297567954227E-2</v>
      </c>
      <c r="C10" s="5">
        <f t="shared" si="0"/>
        <v>4.1487839771101577E-2</v>
      </c>
      <c r="D10" s="5">
        <f t="shared" si="0"/>
        <v>4.005722460658083E-2</v>
      </c>
      <c r="E10" s="5">
        <f t="shared" si="0"/>
        <v>3.5765379113018601E-2</v>
      </c>
      <c r="F10" s="5">
        <f t="shared" si="0"/>
        <v>3.0042918454935622E-2</v>
      </c>
      <c r="G10" s="5">
        <f t="shared" si="0"/>
        <v>3.0042918454935622E-2</v>
      </c>
      <c r="H10" s="5">
        <f t="shared" si="0"/>
        <v>4.005722460658083E-2</v>
      </c>
      <c r="I10" s="5">
        <f t="shared" si="0"/>
        <v>3.4334763948497854E-2</v>
      </c>
      <c r="J10" s="5">
        <f t="shared" si="0"/>
        <v>1.1444921316165951E-2</v>
      </c>
      <c r="K10" s="5">
        <f t="shared" si="0"/>
        <v>0</v>
      </c>
      <c r="M10" s="5"/>
    </row>
    <row r="11" spans="1:23">
      <c r="A11" s="2">
        <v>9</v>
      </c>
      <c r="B11" s="5">
        <f t="shared" si="0"/>
        <v>2.0028612303290415E-2</v>
      </c>
      <c r="C11" s="5">
        <f t="shared" si="0"/>
        <v>8.5836909871244635E-3</v>
      </c>
      <c r="D11" s="5">
        <f t="shared" si="0"/>
        <v>1.0014306151645207E-2</v>
      </c>
      <c r="E11" s="5">
        <f t="shared" si="0"/>
        <v>7.1530758226037196E-3</v>
      </c>
      <c r="F11" s="5">
        <f t="shared" si="0"/>
        <v>2.8612303290414878E-3</v>
      </c>
      <c r="G11" s="5">
        <f t="shared" si="0"/>
        <v>1.2875536480686695E-2</v>
      </c>
      <c r="H11" s="5">
        <f t="shared" si="0"/>
        <v>1.5736766809728183E-2</v>
      </c>
      <c r="I11" s="5">
        <f t="shared" si="0"/>
        <v>2.2889842632331903E-2</v>
      </c>
      <c r="J11" s="5">
        <f t="shared" si="0"/>
        <v>0</v>
      </c>
      <c r="K11" s="5">
        <f t="shared" si="0"/>
        <v>0</v>
      </c>
      <c r="M11" s="5"/>
    </row>
    <row r="12" spans="1:23">
      <c r="A12" s="2">
        <v>10</v>
      </c>
      <c r="B12" s="5">
        <f t="shared" si="0"/>
        <v>9.8712446351931327E-2</v>
      </c>
      <c r="C12" s="5">
        <f t="shared" si="0"/>
        <v>9.5851216022889846E-2</v>
      </c>
      <c r="D12" s="5">
        <f t="shared" si="0"/>
        <v>8.2975679542203154E-2</v>
      </c>
      <c r="E12" s="5">
        <f t="shared" si="0"/>
        <v>7.8683834048640919E-2</v>
      </c>
      <c r="F12" s="5">
        <f t="shared" si="0"/>
        <v>4.4349070100143065E-2</v>
      </c>
      <c r="G12" s="5">
        <f t="shared" si="0"/>
        <v>0.18884120171673821</v>
      </c>
      <c r="H12" s="5">
        <f t="shared" si="0"/>
        <v>2.8612303290414878E-2</v>
      </c>
      <c r="I12" s="5">
        <f t="shared" si="0"/>
        <v>8.7267525035765375E-2</v>
      </c>
      <c r="J12" s="5">
        <f t="shared" si="0"/>
        <v>2.0028612303290415E-2</v>
      </c>
      <c r="K12" s="5">
        <f t="shared" si="0"/>
        <v>0</v>
      </c>
      <c r="M12" s="5"/>
    </row>
    <row r="13" spans="1:23">
      <c r="A13" s="4" t="s">
        <v>12</v>
      </c>
      <c r="B13" s="5">
        <f>SUM(B3:B12)</f>
        <v>1</v>
      </c>
      <c r="C13" s="5">
        <f t="shared" ref="C13:J13" si="1">SUM(C3:C12)</f>
        <v>0.99999999999999989</v>
      </c>
      <c r="D13" s="5">
        <f t="shared" si="1"/>
        <v>1</v>
      </c>
      <c r="E13" s="5">
        <f t="shared" si="1"/>
        <v>0.99999999999999989</v>
      </c>
      <c r="F13" s="5">
        <f t="shared" si="1"/>
        <v>1</v>
      </c>
      <c r="G13" s="5">
        <f t="shared" si="1"/>
        <v>0.97711015736766815</v>
      </c>
      <c r="H13" s="5">
        <f t="shared" si="1"/>
        <v>0.99999999999999989</v>
      </c>
      <c r="I13" s="5">
        <f t="shared" si="1"/>
        <v>1</v>
      </c>
      <c r="J13" s="5">
        <f t="shared" si="1"/>
        <v>0.99999999999999989</v>
      </c>
      <c r="K13" s="5">
        <f>SUM(K3:K12)</f>
        <v>1</v>
      </c>
    </row>
    <row r="16" spans="1:23">
      <c r="A16" s="4" t="s">
        <v>13</v>
      </c>
    </row>
    <row r="17" spans="1:11">
      <c r="A17" s="2">
        <v>1</v>
      </c>
      <c r="B17" s="5">
        <f t="shared" ref="B17:K26" si="2">Entropy($A17, B$90:B$788, $L$90:$L$788)</f>
        <v>0.14529544538163577</v>
      </c>
      <c r="C17" s="5">
        <f t="shared" si="2"/>
        <v>8.3542888310322333E-2</v>
      </c>
      <c r="D17" s="5">
        <f t="shared" si="2"/>
        <v>5.0436967245965525E-2</v>
      </c>
      <c r="E17" s="5">
        <f t="shared" si="2"/>
        <v>0.39731239331117035</v>
      </c>
      <c r="F17" s="5">
        <f t="shared" si="2"/>
        <v>0.14854949043034824</v>
      </c>
      <c r="G17" s="5">
        <f t="shared" si="2"/>
        <v>0.22983578430824561</v>
      </c>
      <c r="H17" s="5">
        <f t="shared" si="2"/>
        <v>0.10106696361212415</v>
      </c>
      <c r="I17" s="5">
        <f t="shared" si="2"/>
        <v>0.4449271954550843</v>
      </c>
      <c r="J17" s="5">
        <f t="shared" si="2"/>
        <v>0.78050186868653415</v>
      </c>
      <c r="K17" s="5">
        <f t="shared" si="2"/>
        <v>0</v>
      </c>
    </row>
    <row r="18" spans="1:11">
      <c r="A18" s="2">
        <v>2</v>
      </c>
      <c r="B18" s="5">
        <f t="shared" si="2"/>
        <v>0.40217919020227283</v>
      </c>
      <c r="C18" s="5">
        <f t="shared" si="2"/>
        <v>0.67519144014587162</v>
      </c>
      <c r="D18" s="5">
        <f t="shared" si="2"/>
        <v>0.5254506799086206</v>
      </c>
      <c r="E18" s="5">
        <f t="shared" si="2"/>
        <v>0.94438719501334611</v>
      </c>
      <c r="F18" s="5">
        <f t="shared" si="2"/>
        <v>0.32579727591634777</v>
      </c>
      <c r="G18" s="5">
        <f t="shared" si="2"/>
        <v>0.8812908992306927</v>
      </c>
      <c r="H18" s="5">
        <f t="shared" si="2"/>
        <v>0.25214862204201066</v>
      </c>
      <c r="I18" s="5">
        <f t="shared" si="2"/>
        <v>0.65002242164835411</v>
      </c>
      <c r="J18" s="5">
        <f t="shared" si="2"/>
        <v>0.77551265813314785</v>
      </c>
      <c r="K18" s="5">
        <f t="shared" si="2"/>
        <v>0</v>
      </c>
    </row>
    <row r="19" spans="1:11">
      <c r="A19" s="2">
        <v>3</v>
      </c>
      <c r="B19" s="5">
        <f t="shared" si="2"/>
        <v>0.50325833477564585</v>
      </c>
      <c r="C19" s="5">
        <f t="shared" si="2"/>
        <v>0.99893265462605818</v>
      </c>
      <c r="D19" s="5">
        <f t="shared" si="2"/>
        <v>0.97687401262652807</v>
      </c>
      <c r="E19" s="5">
        <f t="shared" si="2"/>
        <v>0.99656637132745507</v>
      </c>
      <c r="F19" s="5">
        <f t="shared" si="2"/>
        <v>0.972552316568843</v>
      </c>
      <c r="G19" s="5">
        <f t="shared" si="2"/>
        <v>1</v>
      </c>
      <c r="H19" s="5">
        <f t="shared" si="2"/>
        <v>0.75683363241840351</v>
      </c>
      <c r="I19" s="5">
        <f t="shared" si="2"/>
        <v>0.84535093662243654</v>
      </c>
      <c r="J19" s="5">
        <f t="shared" si="2"/>
        <v>0.3298460702071464</v>
      </c>
      <c r="K19" s="5">
        <f t="shared" si="2"/>
        <v>0</v>
      </c>
    </row>
    <row r="20" spans="1:11">
      <c r="A20" s="2">
        <v>4</v>
      </c>
      <c r="B20" s="5">
        <f t="shared" si="2"/>
        <v>0.60984030471640049</v>
      </c>
      <c r="C20" s="5">
        <f t="shared" si="2"/>
        <v>0.76919282901301378</v>
      </c>
      <c r="D20" s="5">
        <f t="shared" si="2"/>
        <v>0.87566339232303969</v>
      </c>
      <c r="E20" s="5">
        <f t="shared" si="2"/>
        <v>0.61361901959937082</v>
      </c>
      <c r="F20" s="5">
        <f t="shared" si="2"/>
        <v>0.59931423730980915</v>
      </c>
      <c r="G20" s="5">
        <f t="shared" si="2"/>
        <v>0.89974375869826262</v>
      </c>
      <c r="H20" s="5">
        <f t="shared" si="2"/>
        <v>0.72192809488736231</v>
      </c>
      <c r="I20" s="5">
        <f t="shared" si="2"/>
        <v>0.30954342915032518</v>
      </c>
      <c r="J20" s="5">
        <f t="shared" si="2"/>
        <v>0</v>
      </c>
      <c r="K20" s="5">
        <f t="shared" si="2"/>
        <v>0</v>
      </c>
    </row>
    <row r="21" spans="1:11">
      <c r="A21" s="2">
        <v>5</v>
      </c>
      <c r="B21" s="5">
        <f t="shared" si="2"/>
        <v>0.93058612913199301</v>
      </c>
      <c r="C21" s="5">
        <f t="shared" si="2"/>
        <v>0</v>
      </c>
      <c r="D21" s="5">
        <f t="shared" si="2"/>
        <v>0.43055186701043946</v>
      </c>
      <c r="E21" s="5">
        <f t="shared" si="2"/>
        <v>0.66657835799492049</v>
      </c>
      <c r="F21" s="5">
        <f t="shared" si="2"/>
        <v>0.55249511432511111</v>
      </c>
      <c r="G21" s="5">
        <f t="shared" si="2"/>
        <v>0.91829583405448956</v>
      </c>
      <c r="H21" s="5">
        <f t="shared" si="2"/>
        <v>0.52255937453694079</v>
      </c>
      <c r="I21" s="5">
        <f t="shared" si="2"/>
        <v>0.48546076074591338</v>
      </c>
      <c r="J21" s="5">
        <f t="shared" si="2"/>
        <v>0.65002242164835411</v>
      </c>
      <c r="K21" s="5">
        <f t="shared" si="2"/>
        <v>0</v>
      </c>
    </row>
    <row r="22" spans="1:11">
      <c r="A22" s="2">
        <v>6</v>
      </c>
      <c r="B22" s="5">
        <f t="shared" si="2"/>
        <v>0.99750254636911528</v>
      </c>
      <c r="C22" s="5">
        <f t="shared" si="2"/>
        <v>0.38094658570539008</v>
      </c>
      <c r="D22" s="5">
        <f t="shared" si="2"/>
        <v>0.46899559358928122</v>
      </c>
      <c r="E22" s="5">
        <f t="shared" si="2"/>
        <v>0.68403843563904165</v>
      </c>
      <c r="F22" s="5">
        <f t="shared" si="2"/>
        <v>0.28119379643204268</v>
      </c>
      <c r="G22" s="5">
        <f t="shared" si="2"/>
        <v>0</v>
      </c>
      <c r="H22" s="5">
        <f t="shared" si="2"/>
        <v>0.46899559358928122</v>
      </c>
      <c r="I22" s="5">
        <f t="shared" si="2"/>
        <v>0.68403843563904165</v>
      </c>
      <c r="J22" s="5">
        <f t="shared" si="2"/>
        <v>0</v>
      </c>
      <c r="K22" s="5">
        <f t="shared" si="2"/>
        <v>0</v>
      </c>
    </row>
    <row r="23" spans="1:11">
      <c r="A23" s="2">
        <v>7</v>
      </c>
      <c r="B23" s="5">
        <f t="shared" si="2"/>
        <v>0.25801866866481549</v>
      </c>
      <c r="C23" s="5">
        <f t="shared" si="2"/>
        <v>0.29747224891928969</v>
      </c>
      <c r="D23" s="5">
        <f t="shared" si="2"/>
        <v>0.35335933502142136</v>
      </c>
      <c r="E23" s="5">
        <f t="shared" si="2"/>
        <v>0</v>
      </c>
      <c r="F23" s="5">
        <f t="shared" si="2"/>
        <v>0.81127812445913283</v>
      </c>
      <c r="G23" s="5">
        <f t="shared" si="2"/>
        <v>0.5435644431995964</v>
      </c>
      <c r="H23" s="5">
        <f t="shared" si="2"/>
        <v>0.4558314584408234</v>
      </c>
      <c r="I23" s="5">
        <f t="shared" si="2"/>
        <v>0.5435644431995964</v>
      </c>
      <c r="J23" s="5">
        <f t="shared" si="2"/>
        <v>0.50325833477564585</v>
      </c>
      <c r="K23" s="5">
        <f t="shared" si="2"/>
        <v>0</v>
      </c>
    </row>
    <row r="24" spans="1:11">
      <c r="A24" s="2">
        <v>8</v>
      </c>
      <c r="B24" s="5">
        <f t="shared" si="2"/>
        <v>0.42622865699814483</v>
      </c>
      <c r="C24" s="5">
        <f t="shared" si="2"/>
        <v>0.21639693245126468</v>
      </c>
      <c r="D24" s="5">
        <f t="shared" si="2"/>
        <v>0.22228483068568797</v>
      </c>
      <c r="E24" s="5">
        <f t="shared" si="2"/>
        <v>0</v>
      </c>
      <c r="F24" s="5">
        <f t="shared" si="2"/>
        <v>0.45371633918694482</v>
      </c>
      <c r="G24" s="5">
        <f t="shared" si="2"/>
        <v>0.45371633918694482</v>
      </c>
      <c r="H24" s="5">
        <f t="shared" si="2"/>
        <v>0</v>
      </c>
      <c r="I24" s="5">
        <f t="shared" si="2"/>
        <v>0.65002242164835411</v>
      </c>
      <c r="J24" s="5">
        <f t="shared" si="2"/>
        <v>0.5435644431995964</v>
      </c>
      <c r="K24" s="5">
        <f t="shared" si="2"/>
        <v>0</v>
      </c>
    </row>
    <row r="25" spans="1:11">
      <c r="A25" s="2">
        <v>9</v>
      </c>
      <c r="B25" s="5">
        <f t="shared" si="2"/>
        <v>0</v>
      </c>
      <c r="C25" s="5">
        <f t="shared" si="2"/>
        <v>0.65002242164835411</v>
      </c>
      <c r="D25" s="5">
        <f t="shared" si="2"/>
        <v>0</v>
      </c>
      <c r="E25" s="5">
        <f t="shared" si="2"/>
        <v>0.72192809488736231</v>
      </c>
      <c r="F25" s="5">
        <f t="shared" si="2"/>
        <v>0</v>
      </c>
      <c r="G25" s="5">
        <f t="shared" si="2"/>
        <v>0</v>
      </c>
      <c r="H25" s="5">
        <f t="shared" si="2"/>
        <v>0</v>
      </c>
      <c r="I25" s="5">
        <f t="shared" si="2"/>
        <v>0.33729006661701388</v>
      </c>
      <c r="J25" s="5">
        <f t="shared" si="2"/>
        <v>0</v>
      </c>
      <c r="K25" s="5">
        <f t="shared" si="2"/>
        <v>0</v>
      </c>
    </row>
    <row r="26" spans="1:11">
      <c r="A26" s="2">
        <v>10</v>
      </c>
      <c r="B26" s="5">
        <f t="shared" si="2"/>
        <v>0</v>
      </c>
      <c r="C26" s="5">
        <f t="shared" si="2"/>
        <v>0</v>
      </c>
      <c r="D26" s="5">
        <f t="shared" si="2"/>
        <v>0</v>
      </c>
      <c r="E26" s="5">
        <f t="shared" si="2"/>
        <v>0.13110652958234506</v>
      </c>
      <c r="F26" s="5">
        <f t="shared" si="2"/>
        <v>0.20559250818508304</v>
      </c>
      <c r="G26" s="5">
        <f t="shared" si="2"/>
        <v>0.15649106290570153</v>
      </c>
      <c r="H26" s="5">
        <f t="shared" si="2"/>
        <v>0</v>
      </c>
      <c r="I26" s="5">
        <f t="shared" si="2"/>
        <v>0</v>
      </c>
      <c r="J26" s="5">
        <f t="shared" si="2"/>
        <v>0</v>
      </c>
      <c r="K26" s="5">
        <f t="shared" si="2"/>
        <v>0</v>
      </c>
    </row>
    <row r="27" spans="1:11">
      <c r="J27" s="3" t="s">
        <v>15</v>
      </c>
      <c r="K27" s="2">
        <f>COUNTIF($L$90:$L$788, "=TRUE")/COUNTA($L$90:$L$788)</f>
        <v>0.34477825464949929</v>
      </c>
    </row>
    <row r="28" spans="1:11">
      <c r="J28" s="3" t="s">
        <v>14</v>
      </c>
      <c r="K28" s="2">
        <f>-(_p*LOG(_p, 2))-((1-_p)*LOG((1-_p),2))</f>
        <v>0.92931793724979828</v>
      </c>
    </row>
    <row r="30" spans="1:11">
      <c r="A30" s="4" t="s">
        <v>17</v>
      </c>
    </row>
    <row r="31" spans="1:11">
      <c r="A31" s="2">
        <v>1</v>
      </c>
      <c r="B31" s="5">
        <f>B3*B17</f>
        <v>3.0139970787320728E-2</v>
      </c>
      <c r="C31" s="5">
        <f t="shared" ref="C31:J31" si="3">C3*C17</f>
        <v>4.5894805595370208E-2</v>
      </c>
      <c r="D31" s="5">
        <f t="shared" si="3"/>
        <v>2.547102923866356E-2</v>
      </c>
      <c r="E31" s="5">
        <f t="shared" si="3"/>
        <v>0.23133926191365711</v>
      </c>
      <c r="F31" s="5">
        <f t="shared" si="3"/>
        <v>9.9883062234998096E-3</v>
      </c>
      <c r="G31" s="5">
        <f t="shared" si="3"/>
        <v>0.13218023646911978</v>
      </c>
      <c r="H31" s="5">
        <f t="shared" si="3"/>
        <v>2.1977365477886798E-2</v>
      </c>
      <c r="I31" s="5">
        <f t="shared" si="3"/>
        <v>0.28197817966609778</v>
      </c>
      <c r="J31" s="5">
        <f t="shared" si="3"/>
        <v>0.646510131572966</v>
      </c>
    </row>
    <row r="32" spans="1:11">
      <c r="A32" s="2">
        <v>2</v>
      </c>
      <c r="B32" s="5">
        <f t="shared" ref="B32:J32" si="4">B4*B18</f>
        <v>2.8768182417902209E-2</v>
      </c>
      <c r="C32" s="5">
        <f t="shared" si="4"/>
        <v>4.3467260095227785E-2</v>
      </c>
      <c r="D32" s="5">
        <f t="shared" si="4"/>
        <v>4.4351344942215473E-2</v>
      </c>
      <c r="E32" s="5">
        <f t="shared" si="4"/>
        <v>7.836116925718753E-2</v>
      </c>
      <c r="F32" s="5">
        <f t="shared" si="4"/>
        <v>0.17991094206539376</v>
      </c>
      <c r="G32" s="5">
        <f t="shared" si="4"/>
        <v>3.7823643743806555E-2</v>
      </c>
      <c r="H32" s="5">
        <f t="shared" si="4"/>
        <v>5.9880788639447458E-2</v>
      </c>
      <c r="I32" s="5">
        <f t="shared" si="4"/>
        <v>3.3477549612790772E-2</v>
      </c>
      <c r="J32" s="5">
        <f t="shared" si="4"/>
        <v>3.883110591510755E-2</v>
      </c>
    </row>
    <row r="33" spans="1:23">
      <c r="A33" s="2">
        <v>3</v>
      </c>
      <c r="B33" s="5">
        <f t="shared" ref="B33:J33" si="5">B5*B19</f>
        <v>7.7756652583361605E-2</v>
      </c>
      <c r="C33" s="5">
        <f t="shared" si="5"/>
        <v>7.4312586610236084E-2</v>
      </c>
      <c r="D33" s="5">
        <f t="shared" si="5"/>
        <v>7.8261723472225431E-2</v>
      </c>
      <c r="E33" s="5">
        <f t="shared" si="5"/>
        <v>8.2690771869803142E-2</v>
      </c>
      <c r="F33" s="5">
        <f t="shared" si="5"/>
        <v>0.10017706265086795</v>
      </c>
      <c r="G33" s="5">
        <f t="shared" si="5"/>
        <v>4.005722460658083E-2</v>
      </c>
      <c r="H33" s="5">
        <f t="shared" si="5"/>
        <v>0.17865171580691927</v>
      </c>
      <c r="I33" s="5">
        <f t="shared" si="5"/>
        <v>5.3212362248050371E-2</v>
      </c>
      <c r="J33" s="5">
        <f t="shared" si="5"/>
        <v>1.5572132069865283E-2</v>
      </c>
    </row>
    <row r="34" spans="1:23">
      <c r="A34" s="2">
        <v>4</v>
      </c>
      <c r="B34" s="5">
        <f t="shared" ref="B34:J34" si="6">B6*B20</f>
        <v>6.9795743029058707E-2</v>
      </c>
      <c r="C34" s="5">
        <f t="shared" si="6"/>
        <v>4.4016757025065169E-2</v>
      </c>
      <c r="D34" s="5">
        <f t="shared" si="6"/>
        <v>5.5120442435212802E-2</v>
      </c>
      <c r="E34" s="5">
        <f t="shared" si="6"/>
        <v>2.8969138264347979E-2</v>
      </c>
      <c r="F34" s="5">
        <f t="shared" si="6"/>
        <v>4.1154625738012644E-2</v>
      </c>
      <c r="G34" s="5">
        <f t="shared" si="6"/>
        <v>2.4456554242155922E-2</v>
      </c>
      <c r="H34" s="5">
        <f t="shared" si="6"/>
        <v>4.131205120957724E-2</v>
      </c>
      <c r="I34" s="5">
        <f t="shared" si="6"/>
        <v>7.9710754287637391E-3</v>
      </c>
      <c r="J34" s="5">
        <f t="shared" si="6"/>
        <v>0</v>
      </c>
    </row>
    <row r="35" spans="1:23">
      <c r="A35" s="2">
        <v>5</v>
      </c>
      <c r="B35" s="5">
        <f t="shared" ref="B35:J35" si="7">B7*B21</f>
        <v>0.1730703816697555</v>
      </c>
      <c r="C35" s="5">
        <f t="shared" si="7"/>
        <v>0</v>
      </c>
      <c r="D35" s="5">
        <f t="shared" si="7"/>
        <v>2.0942437021967013E-2</v>
      </c>
      <c r="E35" s="5">
        <f t="shared" si="7"/>
        <v>2.1933193467644024E-2</v>
      </c>
      <c r="F35" s="5">
        <f t="shared" si="7"/>
        <v>3.0825907666207918E-2</v>
      </c>
      <c r="G35" s="5">
        <f t="shared" si="7"/>
        <v>3.9411838371437323E-2</v>
      </c>
      <c r="H35" s="5">
        <f t="shared" si="7"/>
        <v>2.5417766429550768E-2</v>
      </c>
      <c r="I35" s="5">
        <f t="shared" si="7"/>
        <v>1.3195642995954727E-2</v>
      </c>
      <c r="J35" s="5">
        <f t="shared" si="7"/>
        <v>5.579591602131795E-3</v>
      </c>
    </row>
    <row r="36" spans="1:23">
      <c r="A36" s="2">
        <v>6</v>
      </c>
      <c r="B36" s="5">
        <f t="shared" ref="B36:J36" si="8">B8*B22</f>
        <v>4.8519437162446236E-2</v>
      </c>
      <c r="C36" s="5">
        <f t="shared" si="8"/>
        <v>1.4714674984328373E-2</v>
      </c>
      <c r="D36" s="5">
        <f t="shared" si="8"/>
        <v>2.0128566248467004E-2</v>
      </c>
      <c r="E36" s="5">
        <f t="shared" si="8"/>
        <v>2.1529106701085717E-2</v>
      </c>
      <c r="F36" s="5">
        <f t="shared" si="8"/>
        <v>1.6493484483138414E-2</v>
      </c>
      <c r="G36" s="5">
        <f t="shared" si="8"/>
        <v>0</v>
      </c>
      <c r="H36" s="5">
        <f t="shared" si="8"/>
        <v>6.7095220828223348E-3</v>
      </c>
      <c r="I36" s="5">
        <f t="shared" si="8"/>
        <v>2.1529106701085717E-2</v>
      </c>
      <c r="J36" s="5">
        <f t="shared" si="8"/>
        <v>0</v>
      </c>
    </row>
    <row r="37" spans="1:23">
      <c r="A37" s="2">
        <v>7</v>
      </c>
      <c r="B37" s="5">
        <f t="shared" ref="B37:J37" si="9">B9*B23</f>
        <v>8.489884662790782E-3</v>
      </c>
      <c r="C37" s="5">
        <f t="shared" si="9"/>
        <v>8.0857978962324811E-3</v>
      </c>
      <c r="D37" s="5">
        <f t="shared" si="9"/>
        <v>1.5165636696198342E-2</v>
      </c>
      <c r="E37" s="5">
        <f t="shared" si="9"/>
        <v>0</v>
      </c>
      <c r="F37" s="5">
        <f t="shared" si="9"/>
        <v>1.3927521449942195E-2</v>
      </c>
      <c r="G37" s="5">
        <f t="shared" si="9"/>
        <v>6.2210522826849374E-3</v>
      </c>
      <c r="H37" s="5">
        <f t="shared" si="9"/>
        <v>4.7604715974506592E-2</v>
      </c>
      <c r="I37" s="5">
        <f t="shared" si="9"/>
        <v>1.2442104565369875E-2</v>
      </c>
      <c r="J37" s="5">
        <f t="shared" si="9"/>
        <v>6.4797210486134656E-3</v>
      </c>
    </row>
    <row r="38" spans="1:23">
      <c r="A38" s="2">
        <v>8</v>
      </c>
      <c r="B38" s="5">
        <f t="shared" ref="B38:J38" si="10">B10*B24</f>
        <v>2.804938229172341E-2</v>
      </c>
      <c r="C38" s="5">
        <f t="shared" si="10"/>
        <v>8.9778412604959602E-3</v>
      </c>
      <c r="D38" s="5">
        <f t="shared" si="10"/>
        <v>8.9041133894123929E-3</v>
      </c>
      <c r="E38" s="5">
        <f t="shared" si="10"/>
        <v>0</v>
      </c>
      <c r="F38" s="5">
        <f t="shared" si="10"/>
        <v>1.3630962979865295E-2</v>
      </c>
      <c r="G38" s="5">
        <f t="shared" si="10"/>
        <v>1.3630962979865295E-2</v>
      </c>
      <c r="H38" s="5">
        <f t="shared" si="10"/>
        <v>0</v>
      </c>
      <c r="I38" s="5">
        <f t="shared" si="10"/>
        <v>2.231836640852718E-2</v>
      </c>
      <c r="J38" s="5">
        <f t="shared" si="10"/>
        <v>6.2210522826849374E-3</v>
      </c>
    </row>
    <row r="39" spans="1:23">
      <c r="A39" s="2">
        <v>9</v>
      </c>
      <c r="B39" s="5">
        <f t="shared" ref="B39:J39" si="11">B11*B25</f>
        <v>0</v>
      </c>
      <c r="C39" s="5">
        <f t="shared" si="11"/>
        <v>5.579591602131795E-3</v>
      </c>
      <c r="D39" s="5">
        <f t="shared" si="11"/>
        <v>0</v>
      </c>
      <c r="E39" s="5">
        <f t="shared" si="11"/>
        <v>5.164006401197155E-3</v>
      </c>
      <c r="F39" s="5">
        <f t="shared" si="11"/>
        <v>0</v>
      </c>
      <c r="G39" s="5">
        <f t="shared" si="11"/>
        <v>0</v>
      </c>
      <c r="H39" s="5">
        <f t="shared" si="11"/>
        <v>0</v>
      </c>
      <c r="I39" s="5">
        <f t="shared" si="11"/>
        <v>7.7205165463121918E-3</v>
      </c>
      <c r="J39" s="5">
        <f t="shared" si="11"/>
        <v>0</v>
      </c>
    </row>
    <row r="40" spans="1:23">
      <c r="A40" s="2">
        <v>10</v>
      </c>
      <c r="B40" s="5">
        <f t="shared" ref="B40:J40" si="12">B12*B26</f>
        <v>0</v>
      </c>
      <c r="C40" s="5">
        <f t="shared" si="12"/>
        <v>0</v>
      </c>
      <c r="D40" s="5">
        <f t="shared" si="12"/>
        <v>0</v>
      </c>
      <c r="E40" s="5">
        <f t="shared" si="12"/>
        <v>1.031596441635047E-2</v>
      </c>
      <c r="F40" s="5">
        <f t="shared" si="12"/>
        <v>9.1178365575644849E-3</v>
      </c>
      <c r="G40" s="5">
        <f t="shared" si="12"/>
        <v>2.9551960377042351E-2</v>
      </c>
      <c r="H40" s="5">
        <f t="shared" si="12"/>
        <v>0</v>
      </c>
      <c r="I40" s="5">
        <f t="shared" si="12"/>
        <v>0</v>
      </c>
      <c r="J40" s="5">
        <f t="shared" si="12"/>
        <v>0</v>
      </c>
    </row>
    <row r="41" spans="1:23">
      <c r="A41" s="4" t="s">
        <v>19</v>
      </c>
      <c r="B41" s="6">
        <f>$K$28-SUM(B31:B40)</f>
        <v>0.46472830264543913</v>
      </c>
      <c r="C41" s="7">
        <f t="shared" ref="C41:J41" si="13">$K$28-SUM(C31:C40)</f>
        <v>0.68426862218071038</v>
      </c>
      <c r="D41" s="6">
        <f t="shared" si="13"/>
        <v>0.66097264380543619</v>
      </c>
      <c r="E41" s="6">
        <f t="shared" si="13"/>
        <v>0.4490153249585252</v>
      </c>
      <c r="F41" s="6">
        <f t="shared" si="13"/>
        <v>0.51409128743530585</v>
      </c>
      <c r="G41" s="6">
        <f t="shared" si="13"/>
        <v>0.60598446417710528</v>
      </c>
      <c r="H41" s="6">
        <f t="shared" si="13"/>
        <v>0.54776401162908783</v>
      </c>
      <c r="I41" s="6">
        <f t="shared" si="13"/>
        <v>0.47547303307684596</v>
      </c>
      <c r="J41" s="6">
        <f t="shared" si="13"/>
        <v>0.21012420275842913</v>
      </c>
    </row>
    <row r="42" spans="1:23">
      <c r="B42" s="5"/>
      <c r="C42" s="5"/>
      <c r="D42" s="5"/>
      <c r="E42" s="5"/>
      <c r="F42" s="5"/>
      <c r="G42" s="5"/>
      <c r="H42" s="5"/>
      <c r="I42" s="5"/>
      <c r="J42" s="5"/>
    </row>
    <row r="43" spans="1:23">
      <c r="A43" s="4" t="s">
        <v>21</v>
      </c>
      <c r="M43" s="4"/>
    </row>
    <row r="44" spans="1:23">
      <c r="A44" s="4" t="s">
        <v>11</v>
      </c>
      <c r="M44" s="4"/>
    </row>
    <row r="45" spans="1:23">
      <c r="A45" s="2">
        <v>1</v>
      </c>
      <c r="B45" s="5">
        <f>COUNTIF(B$90:B$473,"="&amp;$A45)/COUNTA(B$90:B$473)</f>
        <v>0.34114583333333331</v>
      </c>
      <c r="C45" s="5">
        <f>COUNTIF(C$90:C$473,"="&amp;$A45)/COUNTA(C$90:C$473)</f>
        <v>1</v>
      </c>
      <c r="D45" s="5">
        <f t="shared" ref="D45:K54" si="14">COUNTIF(D$90:D$473,"="&amp;$A45)/COUNTA(D$90:D$473)</f>
        <v>0.86197916666666663</v>
      </c>
      <c r="E45" s="5">
        <f t="shared" si="14"/>
        <v>0.8671875</v>
      </c>
      <c r="F45" s="5">
        <f t="shared" si="14"/>
        <v>0.109375</v>
      </c>
      <c r="G45" s="5">
        <f t="shared" si="14"/>
        <v>0.875</v>
      </c>
      <c r="H45" s="5">
        <f t="shared" si="14"/>
        <v>0.3359375</v>
      </c>
      <c r="I45" s="5">
        <f t="shared" si="14"/>
        <v>0.92708333333333337</v>
      </c>
      <c r="J45" s="5">
        <f t="shared" si="14"/>
        <v>0.98177083333333337</v>
      </c>
      <c r="K45" s="5">
        <f t="shared" si="14"/>
        <v>0</v>
      </c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>
      <c r="A46" s="2">
        <v>2</v>
      </c>
      <c r="B46" s="5">
        <f t="shared" ref="B46:C54" si="15">COUNTIF(B$90:B$473,"="&amp;$A46)/COUNTA(B$90:B$473)</f>
        <v>0.10677083333333333</v>
      </c>
      <c r="C46" s="5">
        <f t="shared" si="15"/>
        <v>0</v>
      </c>
      <c r="D46" s="5">
        <f t="shared" si="14"/>
        <v>6.7708333333333329E-2</v>
      </c>
      <c r="E46" s="5">
        <f t="shared" si="14"/>
        <v>5.7291666666666664E-2</v>
      </c>
      <c r="F46" s="5">
        <f t="shared" si="14"/>
        <v>0.82552083333333337</v>
      </c>
      <c r="G46" s="5">
        <f t="shared" si="14"/>
        <v>3.3854166666666664E-2</v>
      </c>
      <c r="H46" s="5">
        <f t="shared" si="14"/>
        <v>0.36197916666666669</v>
      </c>
      <c r="I46" s="5">
        <f t="shared" si="14"/>
        <v>4.6875E-2</v>
      </c>
      <c r="J46" s="5">
        <f t="shared" si="14"/>
        <v>1.0416666666666666E-2</v>
      </c>
      <c r="K46" s="5">
        <f t="shared" si="14"/>
        <v>0.98958333333333337</v>
      </c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>
      <c r="A47" s="2">
        <v>3</v>
      </c>
      <c r="B47" s="5">
        <f t="shared" si="15"/>
        <v>0.20833333333333334</v>
      </c>
      <c r="C47" s="5">
        <f t="shared" si="15"/>
        <v>0</v>
      </c>
      <c r="D47" s="5">
        <f t="shared" si="14"/>
        <v>5.7291666666666664E-2</v>
      </c>
      <c r="E47" s="5">
        <f t="shared" si="14"/>
        <v>5.9895833333333336E-2</v>
      </c>
      <c r="F47" s="5">
        <f t="shared" si="14"/>
        <v>4.4270833333333336E-2</v>
      </c>
      <c r="G47" s="5">
        <f t="shared" si="14"/>
        <v>2.0833333333333332E-2</v>
      </c>
      <c r="H47" s="5">
        <f t="shared" si="14"/>
        <v>0.28125</v>
      </c>
      <c r="I47" s="5">
        <f t="shared" si="14"/>
        <v>1.3020833333333334E-2</v>
      </c>
      <c r="J47" s="5">
        <f t="shared" si="14"/>
        <v>0</v>
      </c>
      <c r="K47" s="5">
        <f t="shared" si="14"/>
        <v>0</v>
      </c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>
      <c r="A48" s="2">
        <v>4</v>
      </c>
      <c r="B48" s="5">
        <f t="shared" si="15"/>
        <v>0.14583333333333334</v>
      </c>
      <c r="C48" s="5">
        <f t="shared" si="15"/>
        <v>0</v>
      </c>
      <c r="D48" s="5">
        <f t="shared" si="14"/>
        <v>1.3020833333333334E-2</v>
      </c>
      <c r="E48" s="5">
        <f t="shared" si="14"/>
        <v>5.208333333333333E-3</v>
      </c>
      <c r="F48" s="5">
        <f t="shared" si="14"/>
        <v>1.3020833333333334E-2</v>
      </c>
      <c r="G48" s="5">
        <f t="shared" si="14"/>
        <v>1.0416666666666666E-2</v>
      </c>
      <c r="H48" s="5">
        <f t="shared" si="14"/>
        <v>2.6041666666666665E-3</v>
      </c>
      <c r="I48" s="5">
        <f t="shared" si="14"/>
        <v>2.6041666666666665E-3</v>
      </c>
      <c r="J48" s="5">
        <f t="shared" si="14"/>
        <v>0</v>
      </c>
      <c r="K48" s="5">
        <f t="shared" si="14"/>
        <v>1.0416666666666666E-2</v>
      </c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>
      <c r="A49" s="2">
        <v>5</v>
      </c>
      <c r="B49" s="5">
        <f t="shared" si="15"/>
        <v>0.1640625</v>
      </c>
      <c r="C49" s="5">
        <f t="shared" si="15"/>
        <v>0</v>
      </c>
      <c r="D49" s="5">
        <f t="shared" si="14"/>
        <v>0</v>
      </c>
      <c r="E49" s="5">
        <f t="shared" si="14"/>
        <v>0</v>
      </c>
      <c r="F49" s="5">
        <f t="shared" si="14"/>
        <v>2.6041666666666665E-3</v>
      </c>
      <c r="G49" s="5">
        <f t="shared" si="14"/>
        <v>2.34375E-2</v>
      </c>
      <c r="H49" s="5">
        <f t="shared" si="14"/>
        <v>1.3020833333333334E-2</v>
      </c>
      <c r="I49" s="5">
        <f t="shared" si="14"/>
        <v>0</v>
      </c>
      <c r="J49" s="5">
        <f t="shared" si="14"/>
        <v>2.6041666666666665E-3</v>
      </c>
      <c r="K49" s="5">
        <f t="shared" si="14"/>
        <v>0</v>
      </c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>
      <c r="A50" s="2">
        <v>6</v>
      </c>
      <c r="B50" s="5">
        <f t="shared" si="15"/>
        <v>2.6041666666666668E-2</v>
      </c>
      <c r="C50" s="5">
        <f t="shared" si="15"/>
        <v>0</v>
      </c>
      <c r="D50" s="5">
        <f t="shared" si="14"/>
        <v>0</v>
      </c>
      <c r="E50" s="5">
        <f t="shared" si="14"/>
        <v>7.8125E-3</v>
      </c>
      <c r="F50" s="5">
        <f t="shared" si="14"/>
        <v>0</v>
      </c>
      <c r="G50" s="5">
        <f t="shared" si="14"/>
        <v>0</v>
      </c>
      <c r="H50" s="5">
        <f t="shared" si="14"/>
        <v>0</v>
      </c>
      <c r="I50" s="5">
        <f t="shared" si="14"/>
        <v>2.6041666666666665E-3</v>
      </c>
      <c r="J50" s="5">
        <f t="shared" si="14"/>
        <v>0</v>
      </c>
      <c r="K50" s="5">
        <f t="shared" si="14"/>
        <v>0</v>
      </c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>
      <c r="A51" s="2">
        <v>7</v>
      </c>
      <c r="B51" s="5">
        <f t="shared" si="15"/>
        <v>2.6041666666666665E-3</v>
      </c>
      <c r="C51" s="5">
        <f t="shared" si="15"/>
        <v>0</v>
      </c>
      <c r="D51" s="5">
        <f t="shared" si="14"/>
        <v>0</v>
      </c>
      <c r="E51" s="5">
        <f t="shared" si="14"/>
        <v>0</v>
      </c>
      <c r="F51" s="5">
        <f t="shared" si="14"/>
        <v>0</v>
      </c>
      <c r="G51" s="5">
        <f t="shared" si="14"/>
        <v>0</v>
      </c>
      <c r="H51" s="5">
        <f t="shared" si="14"/>
        <v>5.208333333333333E-3</v>
      </c>
      <c r="I51" s="5">
        <f t="shared" si="14"/>
        <v>2.6041666666666665E-3</v>
      </c>
      <c r="J51" s="5">
        <f t="shared" si="14"/>
        <v>2.6041666666666665E-3</v>
      </c>
      <c r="K51" s="5">
        <f t="shared" si="14"/>
        <v>0</v>
      </c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>
      <c r="A52" s="2">
        <v>8</v>
      </c>
      <c r="B52" s="5">
        <f t="shared" si="15"/>
        <v>0</v>
      </c>
      <c r="C52" s="5">
        <f t="shared" si="15"/>
        <v>0</v>
      </c>
      <c r="D52" s="5">
        <f t="shared" si="14"/>
        <v>0</v>
      </c>
      <c r="E52" s="5">
        <f t="shared" si="14"/>
        <v>0</v>
      </c>
      <c r="F52" s="5">
        <f t="shared" si="14"/>
        <v>2.6041666666666665E-3</v>
      </c>
      <c r="G52" s="5">
        <f t="shared" si="14"/>
        <v>0</v>
      </c>
      <c r="H52" s="5">
        <f t="shared" si="14"/>
        <v>0</v>
      </c>
      <c r="I52" s="5">
        <f t="shared" si="14"/>
        <v>2.6041666666666665E-3</v>
      </c>
      <c r="J52" s="5">
        <f t="shared" si="14"/>
        <v>2.6041666666666665E-3</v>
      </c>
      <c r="K52" s="5">
        <f t="shared" si="14"/>
        <v>0</v>
      </c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>
      <c r="A53" s="2">
        <v>9</v>
      </c>
      <c r="B53" s="5">
        <f t="shared" si="15"/>
        <v>2.6041666666666665E-3</v>
      </c>
      <c r="C53" s="5">
        <f t="shared" si="15"/>
        <v>0</v>
      </c>
      <c r="D53" s="5">
        <f t="shared" si="14"/>
        <v>0</v>
      </c>
      <c r="E53" s="5">
        <f t="shared" si="14"/>
        <v>0</v>
      </c>
      <c r="F53" s="5">
        <f t="shared" si="14"/>
        <v>0</v>
      </c>
      <c r="G53" s="5">
        <f t="shared" si="14"/>
        <v>0</v>
      </c>
      <c r="H53" s="5">
        <f t="shared" si="14"/>
        <v>0</v>
      </c>
      <c r="I53" s="5">
        <f t="shared" si="14"/>
        <v>0</v>
      </c>
      <c r="J53" s="5">
        <f t="shared" si="14"/>
        <v>0</v>
      </c>
      <c r="K53" s="5">
        <f t="shared" si="14"/>
        <v>0</v>
      </c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>
      <c r="A54" s="2">
        <v>10</v>
      </c>
      <c r="B54" s="5">
        <f t="shared" si="15"/>
        <v>2.6041666666666665E-3</v>
      </c>
      <c r="C54" s="5">
        <f t="shared" si="15"/>
        <v>0</v>
      </c>
      <c r="D54" s="5">
        <f t="shared" si="14"/>
        <v>0</v>
      </c>
      <c r="E54" s="5">
        <f t="shared" si="14"/>
        <v>2.6041666666666665E-3</v>
      </c>
      <c r="F54" s="5">
        <f t="shared" si="14"/>
        <v>2.6041666666666665E-3</v>
      </c>
      <c r="G54" s="5">
        <f t="shared" si="14"/>
        <v>7.8125E-3</v>
      </c>
      <c r="H54" s="5">
        <f t="shared" si="14"/>
        <v>0</v>
      </c>
      <c r="I54" s="5">
        <f t="shared" si="14"/>
        <v>2.6041666666666665E-3</v>
      </c>
      <c r="J54" s="5">
        <f t="shared" si="14"/>
        <v>0</v>
      </c>
      <c r="K54" s="5">
        <f t="shared" si="14"/>
        <v>0</v>
      </c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>
      <c r="A55" s="4" t="s">
        <v>12</v>
      </c>
      <c r="B55" s="5">
        <f>SUM(B45:B54)</f>
        <v>0.99999999999999989</v>
      </c>
      <c r="C55" s="5">
        <f t="shared" ref="C55:J55" si="16">SUM(C45:C54)</f>
        <v>1</v>
      </c>
      <c r="D55" s="5">
        <f t="shared" si="16"/>
        <v>1</v>
      </c>
      <c r="E55" s="5">
        <f t="shared" si="16"/>
        <v>1</v>
      </c>
      <c r="F55" s="5">
        <f t="shared" si="16"/>
        <v>1</v>
      </c>
      <c r="G55" s="5">
        <f t="shared" si="16"/>
        <v>0.97135416666666663</v>
      </c>
      <c r="H55" s="5">
        <f t="shared" si="16"/>
        <v>1</v>
      </c>
      <c r="I55" s="5">
        <f t="shared" si="16"/>
        <v>0.99999999999999989</v>
      </c>
      <c r="J55" s="5">
        <f t="shared" si="16"/>
        <v>0.99999999999999989</v>
      </c>
      <c r="K55" s="5">
        <f>SUM(K45:K54)</f>
        <v>1</v>
      </c>
      <c r="M55" s="4"/>
      <c r="N55" s="5"/>
      <c r="O55" s="5"/>
      <c r="P55" s="5"/>
      <c r="Q55" s="5"/>
      <c r="R55" s="5"/>
      <c r="S55" s="5"/>
      <c r="T55" s="5"/>
      <c r="U55" s="5"/>
      <c r="V55" s="5"/>
      <c r="W55" s="5"/>
    </row>
    <row r="58" spans="1:23">
      <c r="A58" s="4" t="s">
        <v>13</v>
      </c>
      <c r="M58" s="4"/>
    </row>
    <row r="59" spans="1:23">
      <c r="A59" s="2">
        <v>1</v>
      </c>
      <c r="B59" s="5">
        <f>Entropy($A59, B$90:B$473, $L$90:$L$473)</f>
        <v>0</v>
      </c>
      <c r="C59" s="5">
        <f t="shared" ref="C59:K68" si="17">Entropy($A59, C$90:C$473, $L$90:$L$473)</f>
        <v>8.3542888310322333E-2</v>
      </c>
      <c r="D59" s="5">
        <f t="shared" si="17"/>
        <v>5.3226677022038031E-2</v>
      </c>
      <c r="E59" s="5">
        <f t="shared" si="17"/>
        <v>5.2959353097721401E-2</v>
      </c>
      <c r="F59" s="5">
        <f t="shared" si="17"/>
        <v>0.16232618017539294</v>
      </c>
      <c r="G59" s="5">
        <f t="shared" si="17"/>
        <v>0</v>
      </c>
      <c r="H59" s="5">
        <f t="shared" si="17"/>
        <v>0</v>
      </c>
      <c r="I59" s="5">
        <f t="shared" si="17"/>
        <v>2.785505706421857E-2</v>
      </c>
      <c r="J59" s="5">
        <f t="shared" si="17"/>
        <v>6.6926242446012918E-2</v>
      </c>
      <c r="K59" s="5">
        <f t="shared" si="17"/>
        <v>0</v>
      </c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>
      <c r="A60" s="2">
        <v>2</v>
      </c>
      <c r="B60" s="5">
        <f t="shared" ref="B60:B68" si="18">Entropy($A60, B$90:B$473, $L$90:$L$473)</f>
        <v>0</v>
      </c>
      <c r="C60" s="5">
        <f t="shared" si="17"/>
        <v>0</v>
      </c>
      <c r="D60" s="5">
        <f t="shared" si="17"/>
        <v>0.23519338181924149</v>
      </c>
      <c r="E60" s="5">
        <f t="shared" si="17"/>
        <v>0</v>
      </c>
      <c r="F60" s="5">
        <f t="shared" si="17"/>
        <v>3.0753173912389797E-2</v>
      </c>
      <c r="G60" s="5">
        <f t="shared" si="17"/>
        <v>0</v>
      </c>
      <c r="H60" s="5">
        <f t="shared" si="17"/>
        <v>6.1557079663166869E-2</v>
      </c>
      <c r="I60" s="5">
        <f t="shared" si="17"/>
        <v>0</v>
      </c>
      <c r="J60" s="5">
        <f t="shared" si="17"/>
        <v>0.81127812445913283</v>
      </c>
      <c r="K60" s="5">
        <f t="shared" si="17"/>
        <v>0</v>
      </c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>
      <c r="A61" s="2">
        <v>3</v>
      </c>
      <c r="B61" s="5">
        <f t="shared" si="18"/>
        <v>0</v>
      </c>
      <c r="C61" s="5">
        <f t="shared" si="17"/>
        <v>0</v>
      </c>
      <c r="D61" s="5">
        <f t="shared" si="17"/>
        <v>0.26676498780302604</v>
      </c>
      <c r="E61" s="5">
        <f t="shared" si="17"/>
        <v>0.25801866866481549</v>
      </c>
      <c r="F61" s="5">
        <f t="shared" si="17"/>
        <v>0</v>
      </c>
      <c r="G61" s="5">
        <f t="shared" si="17"/>
        <v>0</v>
      </c>
      <c r="H61" s="5">
        <f t="shared" si="17"/>
        <v>0</v>
      </c>
      <c r="I61" s="5">
        <f t="shared" si="17"/>
        <v>0</v>
      </c>
      <c r="J61" s="5">
        <f t="shared" si="17"/>
        <v>0</v>
      </c>
      <c r="K61" s="5">
        <f t="shared" si="17"/>
        <v>0</v>
      </c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>
      <c r="A62" s="2">
        <v>4</v>
      </c>
      <c r="B62" s="5">
        <f t="shared" si="18"/>
        <v>0.12923377484588491</v>
      </c>
      <c r="C62" s="5">
        <f t="shared" si="17"/>
        <v>0</v>
      </c>
      <c r="D62" s="5">
        <f t="shared" si="17"/>
        <v>0</v>
      </c>
      <c r="E62" s="5">
        <f t="shared" si="17"/>
        <v>0</v>
      </c>
      <c r="F62" s="5">
        <f t="shared" si="17"/>
        <v>0.9709505944546688</v>
      </c>
      <c r="G62" s="5">
        <f t="shared" si="17"/>
        <v>0</v>
      </c>
      <c r="H62" s="5">
        <f t="shared" si="17"/>
        <v>0</v>
      </c>
      <c r="I62" s="5">
        <f t="shared" si="17"/>
        <v>0</v>
      </c>
      <c r="J62" s="5">
        <f t="shared" si="17"/>
        <v>0</v>
      </c>
      <c r="K62" s="5">
        <f t="shared" si="17"/>
        <v>0</v>
      </c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>
      <c r="A63" s="2">
        <v>5</v>
      </c>
      <c r="B63" s="5">
        <f t="shared" si="18"/>
        <v>0</v>
      </c>
      <c r="C63" s="5">
        <f t="shared" si="17"/>
        <v>0</v>
      </c>
      <c r="D63" s="5">
        <f t="shared" si="17"/>
        <v>0</v>
      </c>
      <c r="E63" s="5">
        <f t="shared" si="17"/>
        <v>0</v>
      </c>
      <c r="F63" s="5">
        <f t="shared" si="17"/>
        <v>0</v>
      </c>
      <c r="G63" s="5">
        <f t="shared" si="17"/>
        <v>0.76420450650862026</v>
      </c>
      <c r="H63" s="5">
        <f t="shared" si="17"/>
        <v>0.9709505944546688</v>
      </c>
      <c r="I63" s="5">
        <f t="shared" si="17"/>
        <v>0</v>
      </c>
      <c r="J63" s="5">
        <f t="shared" si="17"/>
        <v>0</v>
      </c>
      <c r="K63" s="5">
        <f t="shared" si="17"/>
        <v>0</v>
      </c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>
      <c r="A64" s="2">
        <v>6</v>
      </c>
      <c r="B64" s="5">
        <f t="shared" si="18"/>
        <v>0.46899559358928122</v>
      </c>
      <c r="C64" s="5">
        <f t="shared" si="17"/>
        <v>0</v>
      </c>
      <c r="D64" s="5">
        <f t="shared" si="17"/>
        <v>0</v>
      </c>
      <c r="E64" s="5">
        <f t="shared" si="17"/>
        <v>0.91829583405448956</v>
      </c>
      <c r="F64" s="5">
        <f t="shared" si="17"/>
        <v>0</v>
      </c>
      <c r="G64" s="5">
        <f t="shared" si="17"/>
        <v>0</v>
      </c>
      <c r="H64" s="5">
        <f t="shared" si="17"/>
        <v>0</v>
      </c>
      <c r="I64" s="5">
        <f t="shared" si="17"/>
        <v>0</v>
      </c>
      <c r="J64" s="5">
        <f t="shared" si="17"/>
        <v>0</v>
      </c>
      <c r="K64" s="5">
        <f t="shared" si="17"/>
        <v>0</v>
      </c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>
      <c r="A65" s="2">
        <v>7</v>
      </c>
      <c r="B65" s="5">
        <f t="shared" si="18"/>
        <v>0</v>
      </c>
      <c r="C65" s="5">
        <f t="shared" si="17"/>
        <v>0</v>
      </c>
      <c r="D65" s="5">
        <f t="shared" si="17"/>
        <v>0</v>
      </c>
      <c r="E65" s="5">
        <f t="shared" si="17"/>
        <v>0</v>
      </c>
      <c r="F65" s="5">
        <f t="shared" si="17"/>
        <v>0</v>
      </c>
      <c r="G65" s="5">
        <f t="shared" si="17"/>
        <v>0</v>
      </c>
      <c r="H65" s="5">
        <f t="shared" si="17"/>
        <v>1</v>
      </c>
      <c r="I65" s="5">
        <f t="shared" si="17"/>
        <v>0</v>
      </c>
      <c r="J65" s="5">
        <f t="shared" si="17"/>
        <v>0</v>
      </c>
      <c r="K65" s="5">
        <f t="shared" si="17"/>
        <v>0</v>
      </c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>
      <c r="A66" s="2">
        <v>8</v>
      </c>
      <c r="B66" s="5">
        <f t="shared" si="18"/>
        <v>0</v>
      </c>
      <c r="C66" s="5">
        <f t="shared" si="17"/>
        <v>0</v>
      </c>
      <c r="D66" s="5">
        <f t="shared" si="17"/>
        <v>0</v>
      </c>
      <c r="E66" s="5">
        <f t="shared" si="17"/>
        <v>0</v>
      </c>
      <c r="F66" s="5">
        <f t="shared" si="17"/>
        <v>0</v>
      </c>
      <c r="G66" s="5">
        <f t="shared" si="17"/>
        <v>0</v>
      </c>
      <c r="H66" s="5">
        <f t="shared" si="17"/>
        <v>0</v>
      </c>
      <c r="I66" s="5">
        <f t="shared" si="17"/>
        <v>0</v>
      </c>
      <c r="J66" s="5">
        <f t="shared" si="17"/>
        <v>0</v>
      </c>
      <c r="K66" s="5">
        <f t="shared" si="17"/>
        <v>0</v>
      </c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>
      <c r="A67" s="2">
        <v>9</v>
      </c>
      <c r="B67" s="5">
        <f t="shared" si="18"/>
        <v>0</v>
      </c>
      <c r="C67" s="5">
        <f t="shared" si="17"/>
        <v>0</v>
      </c>
      <c r="D67" s="5">
        <f t="shared" si="17"/>
        <v>0</v>
      </c>
      <c r="E67" s="5">
        <f t="shared" si="17"/>
        <v>0</v>
      </c>
      <c r="F67" s="5">
        <f t="shared" si="17"/>
        <v>0</v>
      </c>
      <c r="G67" s="5">
        <f t="shared" si="17"/>
        <v>0</v>
      </c>
      <c r="H67" s="5">
        <f t="shared" si="17"/>
        <v>0</v>
      </c>
      <c r="I67" s="5">
        <f t="shared" si="17"/>
        <v>0</v>
      </c>
      <c r="J67" s="5">
        <f t="shared" si="17"/>
        <v>0</v>
      </c>
      <c r="K67" s="5">
        <f t="shared" si="17"/>
        <v>0</v>
      </c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>
      <c r="A68" s="2">
        <v>10</v>
      </c>
      <c r="B68" s="5">
        <f t="shared" si="18"/>
        <v>0</v>
      </c>
      <c r="C68" s="5">
        <f t="shared" si="17"/>
        <v>0</v>
      </c>
      <c r="D68" s="5">
        <f t="shared" si="17"/>
        <v>0</v>
      </c>
      <c r="E68" s="5">
        <f t="shared" si="17"/>
        <v>0</v>
      </c>
      <c r="F68" s="5">
        <f t="shared" si="17"/>
        <v>0</v>
      </c>
      <c r="G68" s="5">
        <f t="shared" si="17"/>
        <v>0.91829583405448956</v>
      </c>
      <c r="H68" s="5">
        <f t="shared" si="17"/>
        <v>0</v>
      </c>
      <c r="I68" s="5">
        <f t="shared" si="17"/>
        <v>0</v>
      </c>
      <c r="J68" s="5">
        <f t="shared" si="17"/>
        <v>0</v>
      </c>
      <c r="K68" s="5">
        <f t="shared" si="17"/>
        <v>0</v>
      </c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>
      <c r="J69" s="3" t="s">
        <v>15</v>
      </c>
      <c r="K69" s="5">
        <f>COUNTIF($L$90:$L$473, "=TRUE")/COUNTA($L$90:$L$473)</f>
        <v>1.0416666666666666E-2</v>
      </c>
      <c r="V69" s="3"/>
      <c r="W69" s="5"/>
    </row>
    <row r="70" spans="1:23">
      <c r="J70" s="3" t="s">
        <v>14</v>
      </c>
      <c r="K70" s="2">
        <f>-(_p2*LOG(_p2, 2))-((1-_p2)*LOG((1-_p2),2))</f>
        <v>8.3542888310322319E-2</v>
      </c>
      <c r="V70" s="3"/>
    </row>
    <row r="72" spans="1:23">
      <c r="A72" s="4" t="s">
        <v>17</v>
      </c>
      <c r="M72" s="4"/>
    </row>
    <row r="73" spans="1:23">
      <c r="A73" s="2">
        <v>1</v>
      </c>
      <c r="B73" s="5">
        <f>B45*B59</f>
        <v>0</v>
      </c>
      <c r="C73" s="5">
        <f t="shared" ref="C73:J73" si="19">C45*C59</f>
        <v>8.3542888310322333E-2</v>
      </c>
      <c r="D73" s="5">
        <f t="shared" si="19"/>
        <v>4.5880286703892152E-2</v>
      </c>
      <c r="E73" s="5">
        <f t="shared" si="19"/>
        <v>4.5925689014430275E-2</v>
      </c>
      <c r="F73" s="5">
        <f t="shared" si="19"/>
        <v>1.7754425956683601E-2</v>
      </c>
      <c r="G73" s="5">
        <f t="shared" si="19"/>
        <v>0</v>
      </c>
      <c r="H73" s="5">
        <f t="shared" si="19"/>
        <v>0</v>
      </c>
      <c r="I73" s="5">
        <f t="shared" si="19"/>
        <v>2.5823959153285968E-2</v>
      </c>
      <c r="J73" s="5">
        <f t="shared" si="19"/>
        <v>6.5706232818090807E-2</v>
      </c>
      <c r="N73" s="5"/>
      <c r="O73" s="5"/>
      <c r="P73" s="5"/>
      <c r="Q73" s="5"/>
      <c r="R73" s="5"/>
      <c r="S73" s="5"/>
      <c r="T73" s="5"/>
      <c r="U73" s="5"/>
      <c r="V73" s="5"/>
    </row>
    <row r="74" spans="1:23">
      <c r="A74" s="2">
        <v>2</v>
      </c>
      <c r="B74" s="5">
        <f t="shared" ref="B74:J74" si="20">B46*B60</f>
        <v>0</v>
      </c>
      <c r="C74" s="5">
        <f t="shared" si="20"/>
        <v>0</v>
      </c>
      <c r="D74" s="5">
        <f t="shared" si="20"/>
        <v>1.5924551894011141E-2</v>
      </c>
      <c r="E74" s="5">
        <f t="shared" si="20"/>
        <v>0</v>
      </c>
      <c r="F74" s="5">
        <f t="shared" si="20"/>
        <v>2.5387385755800955E-2</v>
      </c>
      <c r="G74" s="5">
        <f t="shared" si="20"/>
        <v>0</v>
      </c>
      <c r="H74" s="5">
        <f t="shared" si="20"/>
        <v>2.2282380398906759E-2</v>
      </c>
      <c r="I74" s="5">
        <f t="shared" si="20"/>
        <v>0</v>
      </c>
      <c r="J74" s="5">
        <f t="shared" si="20"/>
        <v>8.4508137964493003E-3</v>
      </c>
      <c r="N74" s="5"/>
      <c r="O74" s="5"/>
      <c r="P74" s="5"/>
      <c r="Q74" s="5"/>
      <c r="R74" s="5"/>
      <c r="S74" s="5"/>
      <c r="T74" s="5"/>
      <c r="U74" s="5"/>
      <c r="V74" s="5"/>
    </row>
    <row r="75" spans="1:23">
      <c r="A75" s="2">
        <v>3</v>
      </c>
      <c r="B75" s="5">
        <f t="shared" ref="B75:J75" si="21">B47*B61</f>
        <v>0</v>
      </c>
      <c r="C75" s="5">
        <f t="shared" si="21"/>
        <v>0</v>
      </c>
      <c r="D75" s="5">
        <f t="shared" si="21"/>
        <v>1.5283410759548366E-2</v>
      </c>
      <c r="E75" s="5">
        <f t="shared" si="21"/>
        <v>1.5454243175236346E-2</v>
      </c>
      <c r="F75" s="5">
        <f t="shared" si="21"/>
        <v>0</v>
      </c>
      <c r="G75" s="5">
        <f t="shared" si="21"/>
        <v>0</v>
      </c>
      <c r="H75" s="5">
        <f t="shared" si="21"/>
        <v>0</v>
      </c>
      <c r="I75" s="5">
        <f t="shared" si="21"/>
        <v>0</v>
      </c>
      <c r="J75" s="5">
        <f t="shared" si="21"/>
        <v>0</v>
      </c>
      <c r="N75" s="5"/>
      <c r="O75" s="5"/>
      <c r="P75" s="5"/>
      <c r="Q75" s="5"/>
      <c r="R75" s="5"/>
      <c r="S75" s="5"/>
      <c r="T75" s="5"/>
      <c r="U75" s="5"/>
      <c r="V75" s="5"/>
    </row>
    <row r="76" spans="1:23">
      <c r="A76" s="2">
        <v>4</v>
      </c>
      <c r="B76" s="5">
        <f t="shared" ref="B76:J76" si="22">B48*B62</f>
        <v>1.8846592165024885E-2</v>
      </c>
      <c r="C76" s="5">
        <f t="shared" si="22"/>
        <v>0</v>
      </c>
      <c r="D76" s="5">
        <f t="shared" si="22"/>
        <v>0</v>
      </c>
      <c r="E76" s="5">
        <f t="shared" si="22"/>
        <v>0</v>
      </c>
      <c r="F76" s="5">
        <f t="shared" si="22"/>
        <v>1.2642585865295167E-2</v>
      </c>
      <c r="G76" s="5">
        <f t="shared" si="22"/>
        <v>0</v>
      </c>
      <c r="H76" s="5">
        <f t="shared" si="22"/>
        <v>0</v>
      </c>
      <c r="I76" s="5">
        <f t="shared" si="22"/>
        <v>0</v>
      </c>
      <c r="J76" s="5">
        <f t="shared" si="22"/>
        <v>0</v>
      </c>
      <c r="N76" s="5"/>
      <c r="O76" s="5"/>
      <c r="P76" s="5"/>
      <c r="Q76" s="5"/>
      <c r="R76" s="5"/>
      <c r="S76" s="5"/>
      <c r="T76" s="5"/>
      <c r="U76" s="5"/>
      <c r="V76" s="5"/>
    </row>
    <row r="77" spans="1:23">
      <c r="A77" s="2">
        <v>5</v>
      </c>
      <c r="B77" s="5">
        <f t="shared" ref="B77:J77" si="23">B49*B63</f>
        <v>0</v>
      </c>
      <c r="C77" s="5">
        <f t="shared" si="23"/>
        <v>0</v>
      </c>
      <c r="D77" s="5">
        <f t="shared" si="23"/>
        <v>0</v>
      </c>
      <c r="E77" s="5">
        <f t="shared" si="23"/>
        <v>0</v>
      </c>
      <c r="F77" s="5">
        <f t="shared" si="23"/>
        <v>0</v>
      </c>
      <c r="G77" s="5">
        <f t="shared" si="23"/>
        <v>1.7911043121295787E-2</v>
      </c>
      <c r="H77" s="5">
        <f t="shared" si="23"/>
        <v>1.2642585865295167E-2</v>
      </c>
      <c r="I77" s="5">
        <f t="shared" si="23"/>
        <v>0</v>
      </c>
      <c r="J77" s="5">
        <f t="shared" si="23"/>
        <v>0</v>
      </c>
      <c r="N77" s="5"/>
      <c r="O77" s="5"/>
      <c r="P77" s="5"/>
      <c r="Q77" s="5"/>
      <c r="R77" s="5"/>
      <c r="S77" s="5"/>
      <c r="T77" s="5"/>
      <c r="U77" s="5"/>
      <c r="V77" s="5"/>
    </row>
    <row r="78" spans="1:23">
      <c r="A78" s="2">
        <v>6</v>
      </c>
      <c r="B78" s="5">
        <f t="shared" ref="B78:J78" si="24">B50*B64</f>
        <v>1.2213426916387533E-2</v>
      </c>
      <c r="C78" s="5">
        <f t="shared" si="24"/>
        <v>0</v>
      </c>
      <c r="D78" s="5">
        <f t="shared" si="24"/>
        <v>0</v>
      </c>
      <c r="E78" s="5">
        <f t="shared" si="24"/>
        <v>7.1741862035506997E-3</v>
      </c>
      <c r="F78" s="5">
        <f t="shared" si="24"/>
        <v>0</v>
      </c>
      <c r="G78" s="5">
        <f t="shared" si="24"/>
        <v>0</v>
      </c>
      <c r="H78" s="5">
        <f t="shared" si="24"/>
        <v>0</v>
      </c>
      <c r="I78" s="5">
        <f t="shared" si="24"/>
        <v>0</v>
      </c>
      <c r="J78" s="5">
        <f t="shared" si="24"/>
        <v>0</v>
      </c>
      <c r="N78" s="5"/>
      <c r="O78" s="5"/>
      <c r="P78" s="5"/>
      <c r="Q78" s="5"/>
      <c r="R78" s="5"/>
      <c r="S78" s="5"/>
      <c r="T78" s="5"/>
      <c r="U78" s="5"/>
      <c r="V78" s="5"/>
    </row>
    <row r="79" spans="1:23">
      <c r="A79" s="2">
        <v>7</v>
      </c>
      <c r="B79" s="5">
        <f t="shared" ref="B79:J79" si="25">B51*B65</f>
        <v>0</v>
      </c>
      <c r="C79" s="5">
        <f t="shared" si="25"/>
        <v>0</v>
      </c>
      <c r="D79" s="5">
        <f t="shared" si="25"/>
        <v>0</v>
      </c>
      <c r="E79" s="5">
        <f t="shared" si="25"/>
        <v>0</v>
      </c>
      <c r="F79" s="5">
        <f t="shared" si="25"/>
        <v>0</v>
      </c>
      <c r="G79" s="5">
        <f t="shared" si="25"/>
        <v>0</v>
      </c>
      <c r="H79" s="5">
        <f t="shared" si="25"/>
        <v>5.208333333333333E-3</v>
      </c>
      <c r="I79" s="5">
        <f t="shared" si="25"/>
        <v>0</v>
      </c>
      <c r="J79" s="5">
        <f t="shared" si="25"/>
        <v>0</v>
      </c>
      <c r="N79" s="5"/>
      <c r="O79" s="5"/>
      <c r="P79" s="5"/>
      <c r="Q79" s="5"/>
      <c r="R79" s="5"/>
      <c r="S79" s="5"/>
      <c r="T79" s="5"/>
      <c r="U79" s="5"/>
      <c r="V79" s="5"/>
    </row>
    <row r="80" spans="1:23">
      <c r="A80" s="2">
        <v>8</v>
      </c>
      <c r="B80" s="5">
        <f t="shared" ref="B80:J80" si="26">B52*B66</f>
        <v>0</v>
      </c>
      <c r="C80" s="5">
        <f t="shared" si="26"/>
        <v>0</v>
      </c>
      <c r="D80" s="5">
        <f t="shared" si="26"/>
        <v>0</v>
      </c>
      <c r="E80" s="5">
        <f t="shared" si="26"/>
        <v>0</v>
      </c>
      <c r="F80" s="5">
        <f t="shared" si="26"/>
        <v>0</v>
      </c>
      <c r="G80" s="5">
        <f t="shared" si="26"/>
        <v>0</v>
      </c>
      <c r="H80" s="5">
        <f t="shared" si="26"/>
        <v>0</v>
      </c>
      <c r="I80" s="5">
        <f t="shared" si="26"/>
        <v>0</v>
      </c>
      <c r="J80" s="5">
        <f t="shared" si="26"/>
        <v>0</v>
      </c>
      <c r="N80" s="5"/>
      <c r="O80" s="5"/>
      <c r="P80" s="5"/>
      <c r="Q80" s="5"/>
      <c r="R80" s="5"/>
      <c r="S80" s="5"/>
      <c r="T80" s="5"/>
      <c r="U80" s="5"/>
      <c r="V80" s="5"/>
    </row>
    <row r="81" spans="1:22">
      <c r="A81" s="2">
        <v>9</v>
      </c>
      <c r="B81" s="5">
        <f t="shared" ref="B81:J81" si="27">B53*B67</f>
        <v>0</v>
      </c>
      <c r="C81" s="5">
        <f t="shared" si="27"/>
        <v>0</v>
      </c>
      <c r="D81" s="5">
        <f t="shared" si="27"/>
        <v>0</v>
      </c>
      <c r="E81" s="5">
        <f t="shared" si="27"/>
        <v>0</v>
      </c>
      <c r="F81" s="5">
        <f t="shared" si="27"/>
        <v>0</v>
      </c>
      <c r="G81" s="5">
        <f t="shared" si="27"/>
        <v>0</v>
      </c>
      <c r="H81" s="5">
        <f t="shared" si="27"/>
        <v>0</v>
      </c>
      <c r="I81" s="5">
        <f t="shared" si="27"/>
        <v>0</v>
      </c>
      <c r="J81" s="5">
        <f t="shared" si="27"/>
        <v>0</v>
      </c>
      <c r="N81" s="5"/>
      <c r="O81" s="5"/>
      <c r="P81" s="5"/>
      <c r="Q81" s="5"/>
      <c r="R81" s="5"/>
      <c r="S81" s="5"/>
      <c r="T81" s="5"/>
      <c r="U81" s="5"/>
      <c r="V81" s="5"/>
    </row>
    <row r="82" spans="1:22">
      <c r="A82" s="2">
        <v>10</v>
      </c>
      <c r="B82" s="5">
        <f t="shared" ref="B82:J82" si="28">B54*B68</f>
        <v>0</v>
      </c>
      <c r="C82" s="5">
        <f t="shared" si="28"/>
        <v>0</v>
      </c>
      <c r="D82" s="5">
        <f t="shared" si="28"/>
        <v>0</v>
      </c>
      <c r="E82" s="5">
        <f t="shared" si="28"/>
        <v>0</v>
      </c>
      <c r="F82" s="5">
        <f t="shared" si="28"/>
        <v>0</v>
      </c>
      <c r="G82" s="5">
        <f t="shared" si="28"/>
        <v>7.1741862035506997E-3</v>
      </c>
      <c r="H82" s="5">
        <f t="shared" si="28"/>
        <v>0</v>
      </c>
      <c r="I82" s="5">
        <f t="shared" si="28"/>
        <v>0</v>
      </c>
      <c r="J82" s="5">
        <f t="shared" si="28"/>
        <v>0</v>
      </c>
      <c r="N82" s="5"/>
      <c r="O82" s="5"/>
      <c r="P82" s="5"/>
      <c r="Q82" s="5"/>
      <c r="R82" s="5"/>
      <c r="S82" s="5"/>
      <c r="T82" s="5"/>
      <c r="U82" s="5"/>
      <c r="V82" s="5"/>
    </row>
    <row r="83" spans="1:22">
      <c r="A83" s="4" t="s">
        <v>19</v>
      </c>
      <c r="B83" s="6">
        <f>$K$70-SUM(B73:B82)</f>
        <v>5.2482869228909899E-2</v>
      </c>
      <c r="C83" s="6">
        <f t="shared" ref="C83:J83" si="29">$K$70-SUM(C73:C82)</f>
        <v>0</v>
      </c>
      <c r="D83" s="6">
        <f t="shared" si="29"/>
        <v>6.454638952870656E-3</v>
      </c>
      <c r="E83" s="6">
        <f t="shared" si="29"/>
        <v>1.4988769917105002E-2</v>
      </c>
      <c r="F83" s="6">
        <f t="shared" si="29"/>
        <v>2.7758490732542593E-2</v>
      </c>
      <c r="G83" s="10">
        <f t="shared" si="29"/>
        <v>5.8457658985475836E-2</v>
      </c>
      <c r="H83" s="6">
        <f t="shared" si="29"/>
        <v>4.3409588712787057E-2</v>
      </c>
      <c r="I83" s="9">
        <f t="shared" si="29"/>
        <v>5.7718929157036351E-2</v>
      </c>
      <c r="J83" s="6">
        <f t="shared" si="29"/>
        <v>9.3858416957822155E-3</v>
      </c>
      <c r="M83" s="4"/>
      <c r="N83" s="6"/>
      <c r="O83" s="6"/>
      <c r="P83" s="6"/>
      <c r="Q83" s="6"/>
      <c r="R83" s="6"/>
      <c r="S83" s="8"/>
      <c r="T83" s="6"/>
      <c r="U83" s="6"/>
      <c r="V83" s="6"/>
    </row>
    <row r="89" spans="1:22" ht="138">
      <c r="A89" s="4" t="s">
        <v>20</v>
      </c>
      <c r="B89" s="1" t="s">
        <v>0</v>
      </c>
      <c r="C89" s="1" t="s">
        <v>1</v>
      </c>
      <c r="D89" s="1" t="s">
        <v>2</v>
      </c>
      <c r="E89" s="1" t="s">
        <v>3</v>
      </c>
      <c r="F89" s="1" t="s">
        <v>4</v>
      </c>
      <c r="G89" s="1" t="s">
        <v>5</v>
      </c>
      <c r="H89" s="1" t="s">
        <v>6</v>
      </c>
      <c r="I89" s="1" t="s">
        <v>7</v>
      </c>
      <c r="J89" s="1" t="s">
        <v>9</v>
      </c>
      <c r="K89" s="1" t="s">
        <v>10</v>
      </c>
      <c r="L89" s="1" t="s">
        <v>16</v>
      </c>
    </row>
    <row r="90" spans="1:22" ht="15" customHeight="1">
      <c r="B90" s="2">
        <v>5</v>
      </c>
      <c r="C90" s="2">
        <v>1</v>
      </c>
      <c r="D90" s="2">
        <v>1</v>
      </c>
      <c r="E90" s="2">
        <v>1</v>
      </c>
      <c r="F90" s="2">
        <v>2</v>
      </c>
      <c r="G90" s="2">
        <v>1</v>
      </c>
      <c r="H90" s="2">
        <v>3</v>
      </c>
      <c r="I90" s="2">
        <v>1</v>
      </c>
      <c r="J90" s="2">
        <v>1</v>
      </c>
      <c r="K90" s="2">
        <v>2</v>
      </c>
      <c r="L90" s="2" t="b">
        <f t="shared" ref="L90:L153" si="30">IF(K90=4, TRUE, FALSE)</f>
        <v>0</v>
      </c>
    </row>
    <row r="91" spans="1:22">
      <c r="B91" s="2">
        <v>4</v>
      </c>
      <c r="C91" s="2">
        <v>1</v>
      </c>
      <c r="D91" s="2">
        <v>1</v>
      </c>
      <c r="E91" s="2">
        <v>3</v>
      </c>
      <c r="F91" s="2">
        <v>2</v>
      </c>
      <c r="G91" s="2">
        <v>1</v>
      </c>
      <c r="H91" s="2">
        <v>3</v>
      </c>
      <c r="I91" s="2">
        <v>1</v>
      </c>
      <c r="J91" s="2">
        <v>1</v>
      </c>
      <c r="K91" s="2">
        <v>2</v>
      </c>
      <c r="L91" s="2" t="b">
        <f t="shared" si="30"/>
        <v>0</v>
      </c>
    </row>
    <row r="92" spans="1:22">
      <c r="B92" s="2">
        <v>2</v>
      </c>
      <c r="C92" s="2">
        <v>1</v>
      </c>
      <c r="D92" s="2">
        <v>2</v>
      </c>
      <c r="E92" s="2">
        <v>1</v>
      </c>
      <c r="F92" s="2">
        <v>2</v>
      </c>
      <c r="G92" s="2">
        <v>1</v>
      </c>
      <c r="H92" s="2">
        <v>3</v>
      </c>
      <c r="I92" s="2">
        <v>1</v>
      </c>
      <c r="J92" s="2">
        <v>1</v>
      </c>
      <c r="K92" s="2">
        <v>2</v>
      </c>
      <c r="L92" s="2" t="b">
        <f t="shared" si="30"/>
        <v>0</v>
      </c>
    </row>
    <row r="93" spans="1:22">
      <c r="B93" s="2">
        <v>2</v>
      </c>
      <c r="C93" s="2">
        <v>1</v>
      </c>
      <c r="D93" s="2">
        <v>1</v>
      </c>
      <c r="E93" s="2">
        <v>1</v>
      </c>
      <c r="F93" s="2">
        <v>2</v>
      </c>
      <c r="G93" s="2">
        <v>1</v>
      </c>
      <c r="H93" s="2">
        <v>1</v>
      </c>
      <c r="I93" s="2">
        <v>1</v>
      </c>
      <c r="J93" s="2">
        <v>5</v>
      </c>
      <c r="K93" s="2">
        <v>2</v>
      </c>
      <c r="L93" s="2" t="b">
        <f t="shared" si="30"/>
        <v>0</v>
      </c>
    </row>
    <row r="94" spans="1:22">
      <c r="B94" s="2">
        <v>1</v>
      </c>
      <c r="C94" s="2">
        <v>1</v>
      </c>
      <c r="D94" s="2">
        <v>1</v>
      </c>
      <c r="E94" s="2">
        <v>1</v>
      </c>
      <c r="F94" s="2">
        <v>1</v>
      </c>
      <c r="G94" s="2">
        <v>1</v>
      </c>
      <c r="H94" s="2">
        <v>3</v>
      </c>
      <c r="I94" s="2">
        <v>1</v>
      </c>
      <c r="J94" s="2">
        <v>1</v>
      </c>
      <c r="K94" s="2">
        <v>2</v>
      </c>
      <c r="L94" s="2" t="b">
        <f t="shared" si="30"/>
        <v>0</v>
      </c>
    </row>
    <row r="95" spans="1:22">
      <c r="B95" s="2">
        <v>2</v>
      </c>
      <c r="C95" s="2">
        <v>1</v>
      </c>
      <c r="D95" s="2">
        <v>1</v>
      </c>
      <c r="E95" s="2">
        <v>1</v>
      </c>
      <c r="F95" s="2">
        <v>2</v>
      </c>
      <c r="G95" s="2">
        <v>1</v>
      </c>
      <c r="H95" s="2">
        <v>2</v>
      </c>
      <c r="I95" s="2">
        <v>1</v>
      </c>
      <c r="J95" s="2">
        <v>1</v>
      </c>
      <c r="K95" s="2">
        <v>2</v>
      </c>
      <c r="L95" s="2" t="b">
        <f t="shared" si="30"/>
        <v>0</v>
      </c>
    </row>
    <row r="96" spans="1:22">
      <c r="B96" s="2">
        <v>4</v>
      </c>
      <c r="C96" s="2">
        <v>1</v>
      </c>
      <c r="D96" s="2">
        <v>1</v>
      </c>
      <c r="E96" s="2">
        <v>1</v>
      </c>
      <c r="F96" s="2">
        <v>2</v>
      </c>
      <c r="G96" s="2">
        <v>1</v>
      </c>
      <c r="H96" s="2">
        <v>2</v>
      </c>
      <c r="I96" s="2">
        <v>1</v>
      </c>
      <c r="J96" s="2">
        <v>1</v>
      </c>
      <c r="K96" s="2">
        <v>2</v>
      </c>
      <c r="L96" s="2" t="b">
        <f t="shared" si="30"/>
        <v>0</v>
      </c>
    </row>
    <row r="97" spans="2:12">
      <c r="B97" s="2">
        <v>4</v>
      </c>
      <c r="C97" s="2">
        <v>1</v>
      </c>
      <c r="D97" s="2">
        <v>1</v>
      </c>
      <c r="E97" s="2">
        <v>1</v>
      </c>
      <c r="F97" s="2">
        <v>2</v>
      </c>
      <c r="G97" s="2">
        <v>1</v>
      </c>
      <c r="H97" s="2">
        <v>3</v>
      </c>
      <c r="I97" s="2">
        <v>1</v>
      </c>
      <c r="J97" s="2">
        <v>1</v>
      </c>
      <c r="K97" s="2">
        <v>2</v>
      </c>
      <c r="L97" s="2" t="b">
        <f t="shared" si="30"/>
        <v>0</v>
      </c>
    </row>
    <row r="98" spans="2:12">
      <c r="B98" s="2">
        <v>6</v>
      </c>
      <c r="C98" s="2">
        <v>1</v>
      </c>
      <c r="D98" s="2">
        <v>1</v>
      </c>
      <c r="E98" s="2">
        <v>1</v>
      </c>
      <c r="F98" s="2">
        <v>2</v>
      </c>
      <c r="G98" s="2">
        <v>1</v>
      </c>
      <c r="H98" s="2">
        <v>3</v>
      </c>
      <c r="I98" s="2">
        <v>1</v>
      </c>
      <c r="J98" s="2">
        <v>1</v>
      </c>
      <c r="K98" s="2">
        <v>2</v>
      </c>
      <c r="L98" s="2" t="b">
        <f t="shared" si="30"/>
        <v>0</v>
      </c>
    </row>
    <row r="99" spans="2:12">
      <c r="B99" s="2">
        <v>3</v>
      </c>
      <c r="C99" s="2">
        <v>1</v>
      </c>
      <c r="D99" s="2">
        <v>1</v>
      </c>
      <c r="E99" s="2">
        <v>1</v>
      </c>
      <c r="F99" s="2">
        <v>2</v>
      </c>
      <c r="G99" s="2">
        <v>1</v>
      </c>
      <c r="H99" s="2">
        <v>2</v>
      </c>
      <c r="I99" s="2">
        <v>1</v>
      </c>
      <c r="J99" s="2">
        <v>1</v>
      </c>
      <c r="K99" s="2">
        <v>2</v>
      </c>
      <c r="L99" s="2" t="b">
        <f t="shared" si="30"/>
        <v>0</v>
      </c>
    </row>
    <row r="100" spans="2:12">
      <c r="B100" s="2">
        <v>1</v>
      </c>
      <c r="C100" s="2">
        <v>1</v>
      </c>
      <c r="D100" s="2">
        <v>1</v>
      </c>
      <c r="E100" s="2">
        <v>1</v>
      </c>
      <c r="F100" s="2">
        <v>2</v>
      </c>
      <c r="G100" s="2">
        <v>1</v>
      </c>
      <c r="H100" s="2">
        <v>3</v>
      </c>
      <c r="I100" s="2">
        <v>1</v>
      </c>
      <c r="J100" s="2">
        <v>1</v>
      </c>
      <c r="K100" s="2">
        <v>2</v>
      </c>
      <c r="L100" s="2" t="b">
        <f t="shared" si="30"/>
        <v>0</v>
      </c>
    </row>
    <row r="101" spans="2:12">
      <c r="B101" s="2">
        <v>5</v>
      </c>
      <c r="C101" s="2">
        <v>1</v>
      </c>
      <c r="D101" s="2">
        <v>1</v>
      </c>
      <c r="E101" s="2">
        <v>1</v>
      </c>
      <c r="F101" s="2">
        <v>2</v>
      </c>
      <c r="G101" s="2">
        <v>1</v>
      </c>
      <c r="H101" s="2">
        <v>2</v>
      </c>
      <c r="I101" s="2">
        <v>1</v>
      </c>
      <c r="J101" s="2">
        <v>1</v>
      </c>
      <c r="K101" s="2">
        <v>2</v>
      </c>
      <c r="L101" s="2" t="b">
        <f t="shared" si="30"/>
        <v>0</v>
      </c>
    </row>
    <row r="102" spans="2:12">
      <c r="B102" s="2">
        <v>2</v>
      </c>
      <c r="C102" s="2">
        <v>1</v>
      </c>
      <c r="D102" s="2">
        <v>1</v>
      </c>
      <c r="E102" s="2">
        <v>1</v>
      </c>
      <c r="F102" s="2">
        <v>2</v>
      </c>
      <c r="G102" s="2">
        <v>1</v>
      </c>
      <c r="H102" s="2">
        <v>2</v>
      </c>
      <c r="I102" s="2">
        <v>1</v>
      </c>
      <c r="J102" s="2">
        <v>1</v>
      </c>
      <c r="K102" s="2">
        <v>2</v>
      </c>
      <c r="L102" s="2" t="b">
        <f t="shared" si="30"/>
        <v>0</v>
      </c>
    </row>
    <row r="103" spans="2:12">
      <c r="B103" s="2">
        <v>1</v>
      </c>
      <c r="C103" s="2">
        <v>1</v>
      </c>
      <c r="D103" s="2">
        <v>3</v>
      </c>
      <c r="E103" s="2">
        <v>1</v>
      </c>
      <c r="F103" s="2">
        <v>2</v>
      </c>
      <c r="G103" s="2">
        <v>1</v>
      </c>
      <c r="H103" s="2">
        <v>1</v>
      </c>
      <c r="I103" s="2">
        <v>1</v>
      </c>
      <c r="J103" s="2">
        <v>1</v>
      </c>
      <c r="K103" s="2">
        <v>2</v>
      </c>
      <c r="L103" s="2" t="b">
        <f t="shared" si="30"/>
        <v>0</v>
      </c>
    </row>
    <row r="104" spans="2:12">
      <c r="B104" s="2">
        <v>3</v>
      </c>
      <c r="C104" s="2">
        <v>1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1</v>
      </c>
      <c r="J104" s="2">
        <v>1</v>
      </c>
      <c r="K104" s="2">
        <v>2</v>
      </c>
      <c r="L104" s="2" t="b">
        <f t="shared" si="30"/>
        <v>0</v>
      </c>
    </row>
    <row r="105" spans="2:12">
      <c r="B105" s="2">
        <v>2</v>
      </c>
      <c r="C105" s="2">
        <v>1</v>
      </c>
      <c r="D105" s="2">
        <v>1</v>
      </c>
      <c r="E105" s="2">
        <v>1</v>
      </c>
      <c r="F105" s="2">
        <v>2</v>
      </c>
      <c r="G105" s="2">
        <v>1</v>
      </c>
      <c r="H105" s="2">
        <v>3</v>
      </c>
      <c r="I105" s="2">
        <v>1</v>
      </c>
      <c r="J105" s="2">
        <v>1</v>
      </c>
      <c r="K105" s="2">
        <v>2</v>
      </c>
      <c r="L105" s="2" t="b">
        <f t="shared" si="30"/>
        <v>0</v>
      </c>
    </row>
    <row r="106" spans="2:12">
      <c r="B106" s="2">
        <v>2</v>
      </c>
      <c r="C106" s="2">
        <v>1</v>
      </c>
      <c r="D106" s="2">
        <v>1</v>
      </c>
      <c r="E106" s="2">
        <v>2</v>
      </c>
      <c r="F106" s="2">
        <v>2</v>
      </c>
      <c r="G106" s="2">
        <v>1</v>
      </c>
      <c r="H106" s="2">
        <v>3</v>
      </c>
      <c r="I106" s="2">
        <v>1</v>
      </c>
      <c r="J106" s="2">
        <v>1</v>
      </c>
      <c r="K106" s="2">
        <v>2</v>
      </c>
      <c r="L106" s="2" t="b">
        <f t="shared" si="30"/>
        <v>0</v>
      </c>
    </row>
    <row r="107" spans="2:12">
      <c r="B107" s="2">
        <v>3</v>
      </c>
      <c r="C107" s="2">
        <v>1</v>
      </c>
      <c r="D107" s="2">
        <v>2</v>
      </c>
      <c r="E107" s="2">
        <v>1</v>
      </c>
      <c r="F107" s="2">
        <v>2</v>
      </c>
      <c r="G107" s="2">
        <v>1</v>
      </c>
      <c r="H107" s="2">
        <v>2</v>
      </c>
      <c r="I107" s="2">
        <v>1</v>
      </c>
      <c r="J107" s="2">
        <v>1</v>
      </c>
      <c r="K107" s="2">
        <v>2</v>
      </c>
      <c r="L107" s="2" t="b">
        <f t="shared" si="30"/>
        <v>0</v>
      </c>
    </row>
    <row r="108" spans="2:12">
      <c r="B108" s="2">
        <v>2</v>
      </c>
      <c r="C108" s="2">
        <v>1</v>
      </c>
      <c r="D108" s="2">
        <v>1</v>
      </c>
      <c r="E108" s="2">
        <v>1</v>
      </c>
      <c r="F108" s="2">
        <v>2</v>
      </c>
      <c r="G108" s="2">
        <v>1</v>
      </c>
      <c r="H108" s="2">
        <v>2</v>
      </c>
      <c r="I108" s="2">
        <v>1</v>
      </c>
      <c r="J108" s="2">
        <v>1</v>
      </c>
      <c r="K108" s="2">
        <v>2</v>
      </c>
      <c r="L108" s="2" t="b">
        <f t="shared" si="30"/>
        <v>0</v>
      </c>
    </row>
    <row r="109" spans="2:12">
      <c r="B109" s="2">
        <v>1</v>
      </c>
      <c r="C109" s="2">
        <v>1</v>
      </c>
      <c r="D109" s="2">
        <v>1</v>
      </c>
      <c r="E109" s="2">
        <v>1</v>
      </c>
      <c r="F109" s="2">
        <v>2</v>
      </c>
      <c r="G109" s="2">
        <v>1</v>
      </c>
      <c r="H109" s="2">
        <v>2</v>
      </c>
      <c r="I109" s="2">
        <v>1</v>
      </c>
      <c r="J109" s="2">
        <v>2</v>
      </c>
      <c r="K109" s="2">
        <v>2</v>
      </c>
      <c r="L109" s="2" t="b">
        <f t="shared" si="30"/>
        <v>0</v>
      </c>
    </row>
    <row r="110" spans="2:12">
      <c r="B110" s="2">
        <v>1</v>
      </c>
      <c r="C110" s="2">
        <v>1</v>
      </c>
      <c r="D110" s="2">
        <v>1</v>
      </c>
      <c r="E110" s="2">
        <v>1</v>
      </c>
      <c r="F110" s="2">
        <v>2</v>
      </c>
      <c r="G110" s="2">
        <v>1</v>
      </c>
      <c r="H110" s="2">
        <v>2</v>
      </c>
      <c r="I110" s="2">
        <v>1</v>
      </c>
      <c r="J110" s="2">
        <v>1</v>
      </c>
      <c r="K110" s="2">
        <v>2</v>
      </c>
      <c r="L110" s="2" t="b">
        <f t="shared" si="30"/>
        <v>0</v>
      </c>
    </row>
    <row r="111" spans="2:12">
      <c r="B111" s="2">
        <v>4</v>
      </c>
      <c r="C111" s="2">
        <v>1</v>
      </c>
      <c r="D111" s="2">
        <v>1</v>
      </c>
      <c r="E111" s="2">
        <v>3</v>
      </c>
      <c r="F111" s="2">
        <v>2</v>
      </c>
      <c r="G111" s="2">
        <v>1</v>
      </c>
      <c r="H111" s="2">
        <v>3</v>
      </c>
      <c r="I111" s="2">
        <v>1</v>
      </c>
      <c r="J111" s="2">
        <v>1</v>
      </c>
      <c r="K111" s="2">
        <v>2</v>
      </c>
      <c r="L111" s="2" t="b">
        <f t="shared" si="30"/>
        <v>0</v>
      </c>
    </row>
    <row r="112" spans="2:12">
      <c r="B112" s="2">
        <v>1</v>
      </c>
      <c r="C112" s="2">
        <v>1</v>
      </c>
      <c r="D112" s="2">
        <v>1</v>
      </c>
      <c r="E112" s="2">
        <v>1</v>
      </c>
      <c r="F112" s="2">
        <v>2</v>
      </c>
      <c r="G112" s="2">
        <v>1</v>
      </c>
      <c r="H112" s="2">
        <v>2</v>
      </c>
      <c r="I112" s="2">
        <v>1</v>
      </c>
      <c r="J112" s="2">
        <v>1</v>
      </c>
      <c r="K112" s="2">
        <v>2</v>
      </c>
      <c r="L112" s="2" t="b">
        <f t="shared" si="30"/>
        <v>0</v>
      </c>
    </row>
    <row r="113" spans="2:12">
      <c r="B113" s="2">
        <v>4</v>
      </c>
      <c r="C113" s="2">
        <v>1</v>
      </c>
      <c r="D113" s="2">
        <v>1</v>
      </c>
      <c r="E113" s="2">
        <v>1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2</v>
      </c>
      <c r="L113" s="2" t="b">
        <f t="shared" si="30"/>
        <v>0</v>
      </c>
    </row>
    <row r="114" spans="2:12">
      <c r="B114" s="2">
        <v>1</v>
      </c>
      <c r="C114" s="2">
        <v>1</v>
      </c>
      <c r="D114" s="2">
        <v>1</v>
      </c>
      <c r="E114" s="2">
        <v>1</v>
      </c>
      <c r="F114" s="2">
        <v>2</v>
      </c>
      <c r="G114" s="2">
        <v>1</v>
      </c>
      <c r="H114" s="2">
        <v>3</v>
      </c>
      <c r="I114" s="2">
        <v>2</v>
      </c>
      <c r="J114" s="2">
        <v>1</v>
      </c>
      <c r="K114" s="2">
        <v>2</v>
      </c>
      <c r="L114" s="2" t="b">
        <f t="shared" si="30"/>
        <v>0</v>
      </c>
    </row>
    <row r="115" spans="2:12">
      <c r="B115" s="2">
        <v>5</v>
      </c>
      <c r="C115" s="2">
        <v>1</v>
      </c>
      <c r="D115" s="2">
        <v>3</v>
      </c>
      <c r="E115" s="2">
        <v>1</v>
      </c>
      <c r="F115" s="2">
        <v>2</v>
      </c>
      <c r="G115" s="2">
        <v>1</v>
      </c>
      <c r="H115" s="2">
        <v>2</v>
      </c>
      <c r="I115" s="2">
        <v>1</v>
      </c>
      <c r="J115" s="2">
        <v>1</v>
      </c>
      <c r="K115" s="2">
        <v>2</v>
      </c>
      <c r="L115" s="2" t="b">
        <f t="shared" si="30"/>
        <v>0</v>
      </c>
    </row>
    <row r="116" spans="2:12">
      <c r="B116" s="2">
        <v>1</v>
      </c>
      <c r="C116" s="2">
        <v>1</v>
      </c>
      <c r="D116" s="2">
        <v>4</v>
      </c>
      <c r="E116" s="2">
        <v>1</v>
      </c>
      <c r="F116" s="2">
        <v>2</v>
      </c>
      <c r="G116" s="2">
        <v>1</v>
      </c>
      <c r="H116" s="2">
        <v>2</v>
      </c>
      <c r="I116" s="2">
        <v>1</v>
      </c>
      <c r="J116" s="2">
        <v>1</v>
      </c>
      <c r="K116" s="2">
        <v>2</v>
      </c>
      <c r="L116" s="2" t="b">
        <f t="shared" si="30"/>
        <v>0</v>
      </c>
    </row>
    <row r="117" spans="2:12">
      <c r="B117" s="2">
        <v>2</v>
      </c>
      <c r="C117" s="2">
        <v>1</v>
      </c>
      <c r="D117" s="2">
        <v>1</v>
      </c>
      <c r="E117" s="2">
        <v>1</v>
      </c>
      <c r="F117" s="2">
        <v>3</v>
      </c>
      <c r="G117" s="2">
        <v>1</v>
      </c>
      <c r="H117" s="2">
        <v>2</v>
      </c>
      <c r="I117" s="2">
        <v>1</v>
      </c>
      <c r="J117" s="2">
        <v>1</v>
      </c>
      <c r="K117" s="2">
        <v>2</v>
      </c>
      <c r="L117" s="2" t="b">
        <f t="shared" si="30"/>
        <v>0</v>
      </c>
    </row>
    <row r="118" spans="2:12">
      <c r="B118" s="2">
        <v>4</v>
      </c>
      <c r="C118" s="2">
        <v>1</v>
      </c>
      <c r="D118" s="2">
        <v>1</v>
      </c>
      <c r="E118" s="2">
        <v>2</v>
      </c>
      <c r="F118" s="2">
        <v>2</v>
      </c>
      <c r="G118" s="2">
        <v>1</v>
      </c>
      <c r="H118" s="2">
        <v>2</v>
      </c>
      <c r="I118" s="2">
        <v>1</v>
      </c>
      <c r="J118" s="2">
        <v>1</v>
      </c>
      <c r="K118" s="2">
        <v>2</v>
      </c>
      <c r="L118" s="2" t="b">
        <f t="shared" si="30"/>
        <v>0</v>
      </c>
    </row>
    <row r="119" spans="2:12">
      <c r="B119" s="2">
        <v>4</v>
      </c>
      <c r="C119" s="2">
        <v>1</v>
      </c>
      <c r="D119" s="2">
        <v>1</v>
      </c>
      <c r="E119" s="2">
        <v>1</v>
      </c>
      <c r="F119" s="2">
        <v>2</v>
      </c>
      <c r="G119" s="2">
        <v>1</v>
      </c>
      <c r="H119" s="2">
        <v>3</v>
      </c>
      <c r="I119" s="2">
        <v>1</v>
      </c>
      <c r="J119" s="2">
        <v>1</v>
      </c>
      <c r="K119" s="2">
        <v>2</v>
      </c>
      <c r="L119" s="2" t="b">
        <f t="shared" si="30"/>
        <v>0</v>
      </c>
    </row>
    <row r="120" spans="2:12">
      <c r="B120" s="2">
        <v>2</v>
      </c>
      <c r="C120" s="2">
        <v>1</v>
      </c>
      <c r="D120" s="2">
        <v>1</v>
      </c>
      <c r="E120" s="2">
        <v>2</v>
      </c>
      <c r="F120" s="2">
        <v>3</v>
      </c>
      <c r="G120" s="2">
        <v>1</v>
      </c>
      <c r="H120" s="2">
        <v>2</v>
      </c>
      <c r="I120" s="2">
        <v>1</v>
      </c>
      <c r="J120" s="2">
        <v>1</v>
      </c>
      <c r="K120" s="2">
        <v>2</v>
      </c>
      <c r="L120" s="2" t="b">
        <f t="shared" si="30"/>
        <v>0</v>
      </c>
    </row>
    <row r="121" spans="2:12">
      <c r="B121" s="2">
        <v>1</v>
      </c>
      <c r="C121" s="2">
        <v>1</v>
      </c>
      <c r="D121" s="2">
        <v>1</v>
      </c>
      <c r="E121" s="2">
        <v>1</v>
      </c>
      <c r="F121" s="2">
        <v>2</v>
      </c>
      <c r="G121" s="2">
        <v>1</v>
      </c>
      <c r="H121" s="2">
        <v>3</v>
      </c>
      <c r="I121" s="2">
        <v>1</v>
      </c>
      <c r="J121" s="2">
        <v>1</v>
      </c>
      <c r="K121" s="2">
        <v>2</v>
      </c>
      <c r="L121" s="2" t="b">
        <f t="shared" si="30"/>
        <v>0</v>
      </c>
    </row>
    <row r="122" spans="2:12">
      <c r="B122" s="2">
        <v>3</v>
      </c>
      <c r="C122" s="2">
        <v>1</v>
      </c>
      <c r="D122" s="2">
        <v>1</v>
      </c>
      <c r="E122" s="2">
        <v>2</v>
      </c>
      <c r="F122" s="2">
        <v>2</v>
      </c>
      <c r="G122" s="2">
        <v>1</v>
      </c>
      <c r="H122" s="2">
        <v>1</v>
      </c>
      <c r="I122" s="2">
        <v>1</v>
      </c>
      <c r="J122" s="2">
        <v>1</v>
      </c>
      <c r="K122" s="2">
        <v>2</v>
      </c>
      <c r="L122" s="2" t="b">
        <f t="shared" si="30"/>
        <v>0</v>
      </c>
    </row>
    <row r="123" spans="2:12">
      <c r="B123" s="2">
        <v>4</v>
      </c>
      <c r="C123" s="2">
        <v>1</v>
      </c>
      <c r="D123" s="2">
        <v>1</v>
      </c>
      <c r="E123" s="2">
        <v>1</v>
      </c>
      <c r="F123" s="2">
        <v>2</v>
      </c>
      <c r="G123" s="2">
        <v>1</v>
      </c>
      <c r="H123" s="2">
        <v>3</v>
      </c>
      <c r="I123" s="2">
        <v>1</v>
      </c>
      <c r="J123" s="2">
        <v>1</v>
      </c>
      <c r="K123" s="2">
        <v>2</v>
      </c>
      <c r="L123" s="2" t="b">
        <f t="shared" si="30"/>
        <v>0</v>
      </c>
    </row>
    <row r="124" spans="2:12">
      <c r="B124" s="2">
        <v>1</v>
      </c>
      <c r="C124" s="2">
        <v>1</v>
      </c>
      <c r="D124" s="2">
        <v>1</v>
      </c>
      <c r="E124" s="2">
        <v>1</v>
      </c>
      <c r="F124" s="2">
        <v>2</v>
      </c>
      <c r="G124" s="2">
        <v>1</v>
      </c>
      <c r="H124" s="2">
        <v>2</v>
      </c>
      <c r="I124" s="2">
        <v>1</v>
      </c>
      <c r="J124" s="2">
        <v>1</v>
      </c>
      <c r="K124" s="2">
        <v>2</v>
      </c>
      <c r="L124" s="2" t="b">
        <f t="shared" si="30"/>
        <v>0</v>
      </c>
    </row>
    <row r="125" spans="2:12">
      <c r="B125" s="2">
        <v>2</v>
      </c>
      <c r="C125" s="2">
        <v>1</v>
      </c>
      <c r="D125" s="2">
        <v>1</v>
      </c>
      <c r="E125" s="2">
        <v>1</v>
      </c>
      <c r="F125" s="2">
        <v>2</v>
      </c>
      <c r="G125" s="2">
        <v>1</v>
      </c>
      <c r="H125" s="2">
        <v>3</v>
      </c>
      <c r="I125" s="2">
        <v>1</v>
      </c>
      <c r="J125" s="2">
        <v>1</v>
      </c>
      <c r="K125" s="2">
        <v>2</v>
      </c>
      <c r="L125" s="2" t="b">
        <f t="shared" si="30"/>
        <v>0</v>
      </c>
    </row>
    <row r="126" spans="2:12">
      <c r="B126" s="2">
        <v>1</v>
      </c>
      <c r="C126" s="2">
        <v>1</v>
      </c>
      <c r="D126" s="2">
        <v>1</v>
      </c>
      <c r="E126" s="2">
        <v>1</v>
      </c>
      <c r="F126" s="2">
        <v>2</v>
      </c>
      <c r="G126" s="2">
        <v>1</v>
      </c>
      <c r="H126" s="2">
        <v>3</v>
      </c>
      <c r="I126" s="2">
        <v>1</v>
      </c>
      <c r="J126" s="2">
        <v>1</v>
      </c>
      <c r="K126" s="2">
        <v>2</v>
      </c>
      <c r="L126" s="2" t="b">
        <f t="shared" si="30"/>
        <v>0</v>
      </c>
    </row>
    <row r="127" spans="2:12">
      <c r="B127" s="2">
        <v>2</v>
      </c>
      <c r="C127" s="2">
        <v>1</v>
      </c>
      <c r="D127" s="2">
        <v>1</v>
      </c>
      <c r="E127" s="2">
        <v>2</v>
      </c>
      <c r="F127" s="2">
        <v>2</v>
      </c>
      <c r="G127" s="2">
        <v>1</v>
      </c>
      <c r="H127" s="2">
        <v>1</v>
      </c>
      <c r="I127" s="2">
        <v>1</v>
      </c>
      <c r="J127" s="2">
        <v>1</v>
      </c>
      <c r="K127" s="2">
        <v>2</v>
      </c>
      <c r="L127" s="2" t="b">
        <f t="shared" si="30"/>
        <v>0</v>
      </c>
    </row>
    <row r="128" spans="2:12">
      <c r="B128" s="2">
        <v>5</v>
      </c>
      <c r="C128" s="2">
        <v>1</v>
      </c>
      <c r="D128" s="2">
        <v>1</v>
      </c>
      <c r="E128" s="2">
        <v>1</v>
      </c>
      <c r="F128" s="2">
        <v>2</v>
      </c>
      <c r="G128" s="2">
        <v>1</v>
      </c>
      <c r="H128" s="2">
        <v>3</v>
      </c>
      <c r="I128" s="2">
        <v>1</v>
      </c>
      <c r="J128" s="2">
        <v>1</v>
      </c>
      <c r="K128" s="2">
        <v>2</v>
      </c>
      <c r="L128" s="2" t="b">
        <f t="shared" si="30"/>
        <v>0</v>
      </c>
    </row>
    <row r="129" spans="2:12">
      <c r="B129" s="2">
        <v>4</v>
      </c>
      <c r="C129" s="2">
        <v>1</v>
      </c>
      <c r="D129" s="2">
        <v>2</v>
      </c>
      <c r="E129" s="2">
        <v>1</v>
      </c>
      <c r="F129" s="2">
        <v>2</v>
      </c>
      <c r="G129" s="2">
        <v>1</v>
      </c>
      <c r="H129" s="2">
        <v>3</v>
      </c>
      <c r="I129" s="2">
        <v>1</v>
      </c>
      <c r="J129" s="2">
        <v>1</v>
      </c>
      <c r="K129" s="2">
        <v>2</v>
      </c>
      <c r="L129" s="2" t="b">
        <f t="shared" si="30"/>
        <v>0</v>
      </c>
    </row>
    <row r="130" spans="2:12">
      <c r="B130" s="2">
        <v>1</v>
      </c>
      <c r="C130" s="2">
        <v>1</v>
      </c>
      <c r="D130" s="2">
        <v>1</v>
      </c>
      <c r="E130" s="2">
        <v>1</v>
      </c>
      <c r="F130" s="2">
        <v>2</v>
      </c>
      <c r="G130" s="2">
        <v>1</v>
      </c>
      <c r="H130" s="2">
        <v>2</v>
      </c>
      <c r="I130" s="2">
        <v>3</v>
      </c>
      <c r="J130" s="2">
        <v>1</v>
      </c>
      <c r="K130" s="2">
        <v>2</v>
      </c>
      <c r="L130" s="2" t="b">
        <f t="shared" si="30"/>
        <v>0</v>
      </c>
    </row>
    <row r="131" spans="2:12">
      <c r="B131" s="2">
        <v>1</v>
      </c>
      <c r="C131" s="2">
        <v>1</v>
      </c>
      <c r="D131" s="2">
        <v>2</v>
      </c>
      <c r="E131" s="2">
        <v>2</v>
      </c>
      <c r="F131" s="2">
        <v>2</v>
      </c>
      <c r="G131" s="2">
        <v>1</v>
      </c>
      <c r="H131" s="2">
        <v>3</v>
      </c>
      <c r="I131" s="2">
        <v>1</v>
      </c>
      <c r="J131" s="2">
        <v>1</v>
      </c>
      <c r="K131" s="2">
        <v>2</v>
      </c>
      <c r="L131" s="2" t="b">
        <f t="shared" si="30"/>
        <v>0</v>
      </c>
    </row>
    <row r="132" spans="2:12">
      <c r="B132" s="2">
        <v>1</v>
      </c>
      <c r="C132" s="2">
        <v>1</v>
      </c>
      <c r="D132" s="2">
        <v>1</v>
      </c>
      <c r="E132" s="2">
        <v>1</v>
      </c>
      <c r="F132" s="2">
        <v>2</v>
      </c>
      <c r="G132" s="2">
        <v>1</v>
      </c>
      <c r="H132" s="2">
        <v>2</v>
      </c>
      <c r="I132" s="2">
        <v>1</v>
      </c>
      <c r="J132" s="2">
        <v>1</v>
      </c>
      <c r="K132" s="2">
        <v>2</v>
      </c>
      <c r="L132" s="2" t="b">
        <f t="shared" si="30"/>
        <v>0</v>
      </c>
    </row>
    <row r="133" spans="2:12">
      <c r="B133" s="2">
        <v>3</v>
      </c>
      <c r="C133" s="2">
        <v>1</v>
      </c>
      <c r="D133" s="2">
        <v>1</v>
      </c>
      <c r="E133" s="2">
        <v>1</v>
      </c>
      <c r="F133" s="2">
        <v>2</v>
      </c>
      <c r="G133" s="2">
        <v>1</v>
      </c>
      <c r="H133" s="2">
        <v>3</v>
      </c>
      <c r="I133" s="2">
        <v>1</v>
      </c>
      <c r="J133" s="2">
        <v>1</v>
      </c>
      <c r="K133" s="2">
        <v>2</v>
      </c>
      <c r="L133" s="2" t="b">
        <f t="shared" si="30"/>
        <v>0</v>
      </c>
    </row>
    <row r="134" spans="2:12">
      <c r="B134" s="2">
        <v>1</v>
      </c>
      <c r="C134" s="2">
        <v>1</v>
      </c>
      <c r="D134" s="2">
        <v>1</v>
      </c>
      <c r="E134" s="2">
        <v>1</v>
      </c>
      <c r="F134" s="2">
        <v>10</v>
      </c>
      <c r="G134" s="2">
        <v>1</v>
      </c>
      <c r="H134" s="2">
        <v>1</v>
      </c>
      <c r="I134" s="2">
        <v>1</v>
      </c>
      <c r="J134" s="2">
        <v>1</v>
      </c>
      <c r="K134" s="2">
        <v>2</v>
      </c>
      <c r="L134" s="2" t="b">
        <f t="shared" si="30"/>
        <v>0</v>
      </c>
    </row>
    <row r="135" spans="2:12">
      <c r="B135" s="2">
        <v>5</v>
      </c>
      <c r="C135" s="2">
        <v>1</v>
      </c>
      <c r="D135" s="2">
        <v>3</v>
      </c>
      <c r="E135" s="2">
        <v>1</v>
      </c>
      <c r="F135" s="2">
        <v>2</v>
      </c>
      <c r="G135" s="2">
        <v>1</v>
      </c>
      <c r="H135" s="2">
        <v>2</v>
      </c>
      <c r="I135" s="2">
        <v>1</v>
      </c>
      <c r="J135" s="2">
        <v>1</v>
      </c>
      <c r="K135" s="2">
        <v>2</v>
      </c>
      <c r="L135" s="2" t="b">
        <f t="shared" si="30"/>
        <v>0</v>
      </c>
    </row>
    <row r="136" spans="2:12">
      <c r="B136" s="2">
        <v>2</v>
      </c>
      <c r="C136" s="2">
        <v>1</v>
      </c>
      <c r="D136" s="2">
        <v>1</v>
      </c>
      <c r="E136" s="2">
        <v>1</v>
      </c>
      <c r="F136" s="2">
        <v>2</v>
      </c>
      <c r="G136" s="2">
        <v>1</v>
      </c>
      <c r="H136" s="2">
        <v>3</v>
      </c>
      <c r="I136" s="2">
        <v>1</v>
      </c>
      <c r="J136" s="2">
        <v>1</v>
      </c>
      <c r="K136" s="2">
        <v>2</v>
      </c>
      <c r="L136" s="2" t="b">
        <f t="shared" si="30"/>
        <v>0</v>
      </c>
    </row>
    <row r="137" spans="2:12">
      <c r="B137" s="2">
        <v>3</v>
      </c>
      <c r="C137" s="2">
        <v>1</v>
      </c>
      <c r="D137" s="2">
        <v>1</v>
      </c>
      <c r="E137" s="2">
        <v>1</v>
      </c>
      <c r="F137" s="2">
        <v>2</v>
      </c>
      <c r="G137" s="2">
        <v>1</v>
      </c>
      <c r="H137" s="2">
        <v>2</v>
      </c>
      <c r="I137" s="2">
        <v>2</v>
      </c>
      <c r="J137" s="2">
        <v>1</v>
      </c>
      <c r="K137" s="2">
        <v>2</v>
      </c>
      <c r="L137" s="2" t="b">
        <f t="shared" si="30"/>
        <v>0</v>
      </c>
    </row>
    <row r="138" spans="2:12">
      <c r="B138" s="2">
        <v>3</v>
      </c>
      <c r="C138" s="2">
        <v>1</v>
      </c>
      <c r="D138" s="2">
        <v>1</v>
      </c>
      <c r="E138" s="2">
        <v>1</v>
      </c>
      <c r="F138" s="2">
        <v>3</v>
      </c>
      <c r="G138" s="2">
        <v>1</v>
      </c>
      <c r="H138" s="2">
        <v>2</v>
      </c>
      <c r="I138" s="2">
        <v>1</v>
      </c>
      <c r="J138" s="2">
        <v>1</v>
      </c>
      <c r="K138" s="2">
        <v>2</v>
      </c>
      <c r="L138" s="2" t="b">
        <f t="shared" si="30"/>
        <v>0</v>
      </c>
    </row>
    <row r="139" spans="2:12">
      <c r="B139" s="2">
        <v>4</v>
      </c>
      <c r="C139" s="2">
        <v>1</v>
      </c>
      <c r="D139" s="2">
        <v>1</v>
      </c>
      <c r="E139" s="2">
        <v>1</v>
      </c>
      <c r="F139" s="2">
        <v>2</v>
      </c>
      <c r="G139" s="2">
        <v>1</v>
      </c>
      <c r="H139" s="2">
        <v>2</v>
      </c>
      <c r="I139" s="2">
        <v>1</v>
      </c>
      <c r="J139" s="2">
        <v>1</v>
      </c>
      <c r="K139" s="2">
        <v>2</v>
      </c>
      <c r="L139" s="2" t="b">
        <f t="shared" si="30"/>
        <v>0</v>
      </c>
    </row>
    <row r="140" spans="2:12">
      <c r="B140" s="2">
        <v>3</v>
      </c>
      <c r="C140" s="2">
        <v>1</v>
      </c>
      <c r="D140" s="2">
        <v>1</v>
      </c>
      <c r="E140" s="2">
        <v>1</v>
      </c>
      <c r="F140" s="2">
        <v>2</v>
      </c>
      <c r="G140" s="2">
        <v>1</v>
      </c>
      <c r="H140" s="2">
        <v>1</v>
      </c>
      <c r="I140" s="2">
        <v>1</v>
      </c>
      <c r="J140" s="2">
        <v>1</v>
      </c>
      <c r="K140" s="2">
        <v>2</v>
      </c>
      <c r="L140" s="2" t="b">
        <f t="shared" si="30"/>
        <v>0</v>
      </c>
    </row>
    <row r="141" spans="2:12">
      <c r="B141" s="2">
        <v>4</v>
      </c>
      <c r="C141" s="2">
        <v>1</v>
      </c>
      <c r="D141" s="2">
        <v>2</v>
      </c>
      <c r="E141" s="2">
        <v>1</v>
      </c>
      <c r="F141" s="2">
        <v>2</v>
      </c>
      <c r="G141" s="2">
        <v>1</v>
      </c>
      <c r="H141" s="2">
        <v>2</v>
      </c>
      <c r="I141" s="2">
        <v>1</v>
      </c>
      <c r="J141" s="2">
        <v>1</v>
      </c>
      <c r="K141" s="2">
        <v>2</v>
      </c>
      <c r="L141" s="2" t="b">
        <f t="shared" si="30"/>
        <v>0</v>
      </c>
    </row>
    <row r="142" spans="2:12">
      <c r="B142" s="2">
        <v>3</v>
      </c>
      <c r="C142" s="2">
        <v>1</v>
      </c>
      <c r="D142" s="2">
        <v>1</v>
      </c>
      <c r="E142" s="2">
        <v>1</v>
      </c>
      <c r="F142" s="2">
        <v>2</v>
      </c>
      <c r="G142" s="2">
        <v>1</v>
      </c>
      <c r="H142" s="2">
        <v>1</v>
      </c>
      <c r="I142" s="2">
        <v>1</v>
      </c>
      <c r="J142" s="2">
        <v>1</v>
      </c>
      <c r="K142" s="2">
        <v>2</v>
      </c>
      <c r="L142" s="2" t="b">
        <f t="shared" si="30"/>
        <v>0</v>
      </c>
    </row>
    <row r="143" spans="2:12">
      <c r="B143" s="2">
        <v>2</v>
      </c>
      <c r="C143" s="2">
        <v>1</v>
      </c>
      <c r="D143" s="2">
        <v>1</v>
      </c>
      <c r="E143" s="2">
        <v>1</v>
      </c>
      <c r="F143" s="2">
        <v>2</v>
      </c>
      <c r="G143" s="2">
        <v>1</v>
      </c>
      <c r="H143" s="2">
        <v>1</v>
      </c>
      <c r="I143" s="2">
        <v>1</v>
      </c>
      <c r="J143" s="2">
        <v>1</v>
      </c>
      <c r="K143" s="2">
        <v>2</v>
      </c>
      <c r="L143" s="2" t="b">
        <f t="shared" si="30"/>
        <v>0</v>
      </c>
    </row>
    <row r="144" spans="2:12">
      <c r="B144" s="2">
        <v>2</v>
      </c>
      <c r="C144" s="2">
        <v>1</v>
      </c>
      <c r="D144" s="2">
        <v>1</v>
      </c>
      <c r="E144" s="2">
        <v>1</v>
      </c>
      <c r="F144" s="2">
        <v>2</v>
      </c>
      <c r="G144" s="2">
        <v>1</v>
      </c>
      <c r="H144" s="2">
        <v>2</v>
      </c>
      <c r="I144" s="2">
        <v>1</v>
      </c>
      <c r="J144" s="2">
        <v>1</v>
      </c>
      <c r="K144" s="2">
        <v>2</v>
      </c>
      <c r="L144" s="2" t="b">
        <f t="shared" si="30"/>
        <v>0</v>
      </c>
    </row>
    <row r="145" spans="2:12">
      <c r="B145" s="2">
        <v>3</v>
      </c>
      <c r="C145" s="2">
        <v>1</v>
      </c>
      <c r="D145" s="2">
        <v>1</v>
      </c>
      <c r="E145" s="2">
        <v>3</v>
      </c>
      <c r="F145" s="2">
        <v>8</v>
      </c>
      <c r="G145" s="2">
        <v>1</v>
      </c>
      <c r="H145" s="2">
        <v>5</v>
      </c>
      <c r="I145" s="2">
        <v>8</v>
      </c>
      <c r="J145" s="2">
        <v>1</v>
      </c>
      <c r="K145" s="2">
        <v>2</v>
      </c>
      <c r="L145" s="2" t="b">
        <f t="shared" si="30"/>
        <v>0</v>
      </c>
    </row>
    <row r="146" spans="2:12">
      <c r="B146" s="2">
        <v>1</v>
      </c>
      <c r="C146" s="2">
        <v>1</v>
      </c>
      <c r="D146" s="2">
        <v>1</v>
      </c>
      <c r="E146" s="2">
        <v>1</v>
      </c>
      <c r="F146" s="2">
        <v>1</v>
      </c>
      <c r="G146" s="2">
        <v>1</v>
      </c>
      <c r="H146" s="2">
        <v>3</v>
      </c>
      <c r="I146" s="2">
        <v>1</v>
      </c>
      <c r="J146" s="2">
        <v>1</v>
      </c>
      <c r="K146" s="2">
        <v>2</v>
      </c>
      <c r="L146" s="2" t="b">
        <f t="shared" si="30"/>
        <v>0</v>
      </c>
    </row>
    <row r="147" spans="2:12">
      <c r="B147" s="2">
        <v>1</v>
      </c>
      <c r="C147" s="2">
        <v>1</v>
      </c>
      <c r="D147" s="2">
        <v>1</v>
      </c>
      <c r="E147" s="2">
        <v>1</v>
      </c>
      <c r="F147" s="2">
        <v>2</v>
      </c>
      <c r="G147" s="2">
        <v>1</v>
      </c>
      <c r="H147" s="2">
        <v>1</v>
      </c>
      <c r="I147" s="2">
        <v>1</v>
      </c>
      <c r="J147" s="2">
        <v>1</v>
      </c>
      <c r="K147" s="2">
        <v>2</v>
      </c>
      <c r="L147" s="2" t="b">
        <f t="shared" si="30"/>
        <v>0</v>
      </c>
    </row>
    <row r="148" spans="2:12">
      <c r="B148" s="2">
        <v>2</v>
      </c>
      <c r="C148" s="2">
        <v>1</v>
      </c>
      <c r="D148" s="2">
        <v>1</v>
      </c>
      <c r="E148" s="2">
        <v>1</v>
      </c>
      <c r="F148" s="2">
        <v>2</v>
      </c>
      <c r="G148" s="2">
        <v>1</v>
      </c>
      <c r="H148" s="2">
        <v>3</v>
      </c>
      <c r="I148" s="2">
        <v>1</v>
      </c>
      <c r="J148" s="2">
        <v>1</v>
      </c>
      <c r="K148" s="2">
        <v>2</v>
      </c>
      <c r="L148" s="2" t="b">
        <f t="shared" si="30"/>
        <v>0</v>
      </c>
    </row>
    <row r="149" spans="2:12">
      <c r="B149" s="2">
        <v>4</v>
      </c>
      <c r="C149" s="2">
        <v>1</v>
      </c>
      <c r="D149" s="2">
        <v>1</v>
      </c>
      <c r="E149" s="2">
        <v>1</v>
      </c>
      <c r="F149" s="2">
        <v>2</v>
      </c>
      <c r="G149" s="2">
        <v>1</v>
      </c>
      <c r="H149" s="2">
        <v>3</v>
      </c>
      <c r="I149" s="2">
        <v>2</v>
      </c>
      <c r="J149" s="2">
        <v>1</v>
      </c>
      <c r="K149" s="2">
        <v>2</v>
      </c>
      <c r="L149" s="2" t="b">
        <f t="shared" si="30"/>
        <v>0</v>
      </c>
    </row>
    <row r="150" spans="2:12">
      <c r="B150" s="2">
        <v>3</v>
      </c>
      <c r="C150" s="2">
        <v>1</v>
      </c>
      <c r="D150" s="2">
        <v>1</v>
      </c>
      <c r="E150" s="2">
        <v>1</v>
      </c>
      <c r="F150" s="2">
        <v>2</v>
      </c>
      <c r="G150" s="2">
        <v>1</v>
      </c>
      <c r="H150" s="2">
        <v>3</v>
      </c>
      <c r="I150" s="2">
        <v>1</v>
      </c>
      <c r="J150" s="2">
        <v>1</v>
      </c>
      <c r="K150" s="2">
        <v>2</v>
      </c>
      <c r="L150" s="2" t="b">
        <f t="shared" si="30"/>
        <v>0</v>
      </c>
    </row>
    <row r="151" spans="2:12">
      <c r="B151" s="2">
        <v>3</v>
      </c>
      <c r="C151" s="2">
        <v>1</v>
      </c>
      <c r="D151" s="2">
        <v>1</v>
      </c>
      <c r="E151" s="2">
        <v>1</v>
      </c>
      <c r="F151" s="2">
        <v>2</v>
      </c>
      <c r="G151" s="2">
        <v>1</v>
      </c>
      <c r="H151" s="2">
        <v>3</v>
      </c>
      <c r="I151" s="2">
        <v>1</v>
      </c>
      <c r="J151" s="2">
        <v>1</v>
      </c>
      <c r="K151" s="2">
        <v>2</v>
      </c>
      <c r="L151" s="2" t="b">
        <f t="shared" si="30"/>
        <v>0</v>
      </c>
    </row>
    <row r="152" spans="2:12">
      <c r="B152" s="2">
        <v>1</v>
      </c>
      <c r="C152" s="2">
        <v>1</v>
      </c>
      <c r="D152" s="2">
        <v>1</v>
      </c>
      <c r="E152" s="2">
        <v>2</v>
      </c>
      <c r="F152" s="2">
        <v>1</v>
      </c>
      <c r="G152" s="2">
        <v>1</v>
      </c>
      <c r="H152" s="2">
        <v>1</v>
      </c>
      <c r="I152" s="2">
        <v>1</v>
      </c>
      <c r="J152" s="2">
        <v>1</v>
      </c>
      <c r="K152" s="2">
        <v>2</v>
      </c>
      <c r="L152" s="2" t="b">
        <f t="shared" si="30"/>
        <v>0</v>
      </c>
    </row>
    <row r="153" spans="2:12">
      <c r="B153" s="2">
        <v>3</v>
      </c>
      <c r="C153" s="2">
        <v>1</v>
      </c>
      <c r="D153" s="2">
        <v>1</v>
      </c>
      <c r="E153" s="2">
        <v>1</v>
      </c>
      <c r="F153" s="2">
        <v>2</v>
      </c>
      <c r="G153" s="2">
        <v>1</v>
      </c>
      <c r="H153" s="2">
        <v>1</v>
      </c>
      <c r="I153" s="2">
        <v>1</v>
      </c>
      <c r="J153" s="2">
        <v>1</v>
      </c>
      <c r="K153" s="2">
        <v>2</v>
      </c>
      <c r="L153" s="2" t="b">
        <f t="shared" si="30"/>
        <v>0</v>
      </c>
    </row>
    <row r="154" spans="2:12">
      <c r="B154" s="2">
        <v>1</v>
      </c>
      <c r="C154" s="2">
        <v>1</v>
      </c>
      <c r="D154" s="2">
        <v>1</v>
      </c>
      <c r="E154" s="2">
        <v>1</v>
      </c>
      <c r="F154" s="2">
        <v>2</v>
      </c>
      <c r="G154" s="2">
        <v>1</v>
      </c>
      <c r="H154" s="2">
        <v>3</v>
      </c>
      <c r="I154" s="2">
        <v>1</v>
      </c>
      <c r="J154" s="2">
        <v>1</v>
      </c>
      <c r="K154" s="2">
        <v>2</v>
      </c>
      <c r="L154" s="2" t="b">
        <f t="shared" ref="L154:L217" si="31">IF(K154=4, TRUE, FALSE)</f>
        <v>0</v>
      </c>
    </row>
    <row r="155" spans="2:12">
      <c r="B155" s="2">
        <v>1</v>
      </c>
      <c r="C155" s="2">
        <v>1</v>
      </c>
      <c r="D155" s="2">
        <v>1</v>
      </c>
      <c r="E155" s="2">
        <v>1</v>
      </c>
      <c r="F155" s="2">
        <v>2</v>
      </c>
      <c r="G155" s="2">
        <v>1</v>
      </c>
      <c r="H155" s="2">
        <v>2</v>
      </c>
      <c r="I155" s="2">
        <v>1</v>
      </c>
      <c r="J155" s="2">
        <v>1</v>
      </c>
      <c r="K155" s="2">
        <v>2</v>
      </c>
      <c r="L155" s="2" t="b">
        <f t="shared" si="31"/>
        <v>0</v>
      </c>
    </row>
    <row r="156" spans="2:12">
      <c r="B156" s="2">
        <v>2</v>
      </c>
      <c r="C156" s="2">
        <v>1</v>
      </c>
      <c r="D156" s="2">
        <v>1</v>
      </c>
      <c r="E156" s="2">
        <v>1</v>
      </c>
      <c r="F156" s="2">
        <v>2</v>
      </c>
      <c r="G156" s="2">
        <v>1</v>
      </c>
      <c r="H156" s="2">
        <v>3</v>
      </c>
      <c r="I156" s="2">
        <v>1</v>
      </c>
      <c r="J156" s="2">
        <v>1</v>
      </c>
      <c r="K156" s="2">
        <v>2</v>
      </c>
      <c r="L156" s="2" t="b">
        <f t="shared" si="31"/>
        <v>0</v>
      </c>
    </row>
    <row r="157" spans="2:12">
      <c r="B157" s="2">
        <v>4</v>
      </c>
      <c r="C157" s="2">
        <v>1</v>
      </c>
      <c r="D157" s="2">
        <v>1</v>
      </c>
      <c r="E157" s="2">
        <v>1</v>
      </c>
      <c r="F157" s="2">
        <v>2</v>
      </c>
      <c r="G157" s="2">
        <v>1</v>
      </c>
      <c r="H157" s="2">
        <v>3</v>
      </c>
      <c r="I157" s="2">
        <v>1</v>
      </c>
      <c r="J157" s="2">
        <v>1</v>
      </c>
      <c r="K157" s="2">
        <v>2</v>
      </c>
      <c r="L157" s="2" t="b">
        <f t="shared" si="31"/>
        <v>0</v>
      </c>
    </row>
    <row r="158" spans="2:12">
      <c r="B158" s="2">
        <v>1</v>
      </c>
      <c r="C158" s="2">
        <v>1</v>
      </c>
      <c r="D158" s="2">
        <v>1</v>
      </c>
      <c r="E158" s="2">
        <v>1</v>
      </c>
      <c r="F158" s="2">
        <v>1</v>
      </c>
      <c r="G158" s="2">
        <v>1</v>
      </c>
      <c r="H158" s="2">
        <v>3</v>
      </c>
      <c r="I158" s="2">
        <v>1</v>
      </c>
      <c r="J158" s="2">
        <v>1</v>
      </c>
      <c r="K158" s="2">
        <v>2</v>
      </c>
      <c r="L158" s="2" t="b">
        <f t="shared" si="31"/>
        <v>0</v>
      </c>
    </row>
    <row r="159" spans="2:12">
      <c r="B159" s="2">
        <v>1</v>
      </c>
      <c r="C159" s="2">
        <v>1</v>
      </c>
      <c r="D159" s="2">
        <v>1</v>
      </c>
      <c r="E159" s="2">
        <v>1</v>
      </c>
      <c r="F159" s="2">
        <v>2</v>
      </c>
      <c r="G159" s="2">
        <v>1</v>
      </c>
      <c r="H159" s="2">
        <v>1</v>
      </c>
      <c r="I159" s="2">
        <v>1</v>
      </c>
      <c r="J159" s="2">
        <v>1</v>
      </c>
      <c r="K159" s="2">
        <v>2</v>
      </c>
      <c r="L159" s="2" t="b">
        <f t="shared" si="31"/>
        <v>0</v>
      </c>
    </row>
    <row r="160" spans="2:12">
      <c r="B160" s="2">
        <v>6</v>
      </c>
      <c r="C160" s="2">
        <v>1</v>
      </c>
      <c r="D160" s="2">
        <v>1</v>
      </c>
      <c r="E160" s="2">
        <v>1</v>
      </c>
      <c r="F160" s="2">
        <v>2</v>
      </c>
      <c r="G160" s="2">
        <v>1</v>
      </c>
      <c r="H160" s="2">
        <v>3</v>
      </c>
      <c r="I160" s="2">
        <v>1</v>
      </c>
      <c r="J160" s="2">
        <v>1</v>
      </c>
      <c r="K160" s="2">
        <v>2</v>
      </c>
      <c r="L160" s="2" t="b">
        <f t="shared" si="31"/>
        <v>0</v>
      </c>
    </row>
    <row r="161" spans="2:12">
      <c r="B161" s="2">
        <v>2</v>
      </c>
      <c r="C161" s="2">
        <v>1</v>
      </c>
      <c r="D161" s="2">
        <v>1</v>
      </c>
      <c r="E161" s="2">
        <v>1</v>
      </c>
      <c r="F161" s="2">
        <v>1</v>
      </c>
      <c r="G161" s="2">
        <v>1</v>
      </c>
      <c r="H161" s="2">
        <v>3</v>
      </c>
      <c r="I161" s="2">
        <v>1</v>
      </c>
      <c r="J161" s="2">
        <v>1</v>
      </c>
      <c r="K161" s="2">
        <v>2</v>
      </c>
      <c r="L161" s="2" t="b">
        <f t="shared" si="31"/>
        <v>0</v>
      </c>
    </row>
    <row r="162" spans="2:12">
      <c r="B162" s="2">
        <v>5</v>
      </c>
      <c r="C162" s="2">
        <v>1</v>
      </c>
      <c r="D162" s="2">
        <v>1</v>
      </c>
      <c r="E162" s="2">
        <v>1</v>
      </c>
      <c r="F162" s="2">
        <v>2</v>
      </c>
      <c r="G162" s="2">
        <v>1</v>
      </c>
      <c r="H162" s="2">
        <v>2</v>
      </c>
      <c r="I162" s="2">
        <v>1</v>
      </c>
      <c r="J162" s="2">
        <v>1</v>
      </c>
      <c r="K162" s="2">
        <v>2</v>
      </c>
      <c r="L162" s="2" t="b">
        <f t="shared" si="31"/>
        <v>0</v>
      </c>
    </row>
    <row r="163" spans="2:12">
      <c r="B163" s="2">
        <v>1</v>
      </c>
      <c r="C163" s="2">
        <v>1</v>
      </c>
      <c r="D163" s="2">
        <v>1</v>
      </c>
      <c r="E163" s="2">
        <v>1</v>
      </c>
      <c r="F163" s="2">
        <v>2</v>
      </c>
      <c r="G163" s="2">
        <v>1</v>
      </c>
      <c r="H163" s="2">
        <v>3</v>
      </c>
      <c r="I163" s="2">
        <v>1</v>
      </c>
      <c r="J163" s="2">
        <v>1</v>
      </c>
      <c r="K163" s="2">
        <v>2</v>
      </c>
      <c r="L163" s="2" t="b">
        <f t="shared" si="31"/>
        <v>0</v>
      </c>
    </row>
    <row r="164" spans="2:12">
      <c r="B164" s="2">
        <v>3</v>
      </c>
      <c r="C164" s="2">
        <v>1</v>
      </c>
      <c r="D164" s="2">
        <v>1</v>
      </c>
      <c r="E164" s="2">
        <v>1</v>
      </c>
      <c r="F164" s="2">
        <v>2</v>
      </c>
      <c r="G164" s="2">
        <v>1</v>
      </c>
      <c r="H164" s="2">
        <v>3</v>
      </c>
      <c r="I164" s="2">
        <v>1</v>
      </c>
      <c r="J164" s="2">
        <v>1</v>
      </c>
      <c r="K164" s="2">
        <v>2</v>
      </c>
      <c r="L164" s="2" t="b">
        <f t="shared" si="31"/>
        <v>0</v>
      </c>
    </row>
    <row r="165" spans="2:12">
      <c r="B165" s="2">
        <v>4</v>
      </c>
      <c r="C165" s="2">
        <v>1</v>
      </c>
      <c r="D165" s="2">
        <v>1</v>
      </c>
      <c r="E165" s="2">
        <v>1</v>
      </c>
      <c r="F165" s="2">
        <v>2</v>
      </c>
      <c r="G165" s="2">
        <v>1</v>
      </c>
      <c r="H165" s="2">
        <v>3</v>
      </c>
      <c r="I165" s="2">
        <v>1</v>
      </c>
      <c r="J165" s="2">
        <v>1</v>
      </c>
      <c r="K165" s="2">
        <v>2</v>
      </c>
      <c r="L165" s="2" t="b">
        <f t="shared" si="31"/>
        <v>0</v>
      </c>
    </row>
    <row r="166" spans="2:12">
      <c r="B166" s="2">
        <v>5</v>
      </c>
      <c r="C166" s="2">
        <v>1</v>
      </c>
      <c r="D166" s="2">
        <v>1</v>
      </c>
      <c r="E166" s="2">
        <v>4</v>
      </c>
      <c r="F166" s="2">
        <v>2</v>
      </c>
      <c r="G166" s="2">
        <v>1</v>
      </c>
      <c r="H166" s="2">
        <v>3</v>
      </c>
      <c r="I166" s="2">
        <v>1</v>
      </c>
      <c r="J166" s="2">
        <v>1</v>
      </c>
      <c r="K166" s="2">
        <v>2</v>
      </c>
      <c r="L166" s="2" t="b">
        <f t="shared" si="31"/>
        <v>0</v>
      </c>
    </row>
    <row r="167" spans="2:12">
      <c r="B167" s="2">
        <v>1</v>
      </c>
      <c r="C167" s="2">
        <v>1</v>
      </c>
      <c r="D167" s="2">
        <v>1</v>
      </c>
      <c r="E167" s="2">
        <v>1</v>
      </c>
      <c r="F167" s="2">
        <v>2</v>
      </c>
      <c r="G167" s="2">
        <v>1</v>
      </c>
      <c r="H167" s="2">
        <v>1</v>
      </c>
      <c r="I167" s="2">
        <v>1</v>
      </c>
      <c r="J167" s="2">
        <v>1</v>
      </c>
      <c r="K167" s="2">
        <v>2</v>
      </c>
      <c r="L167" s="2" t="b">
        <f t="shared" si="31"/>
        <v>0</v>
      </c>
    </row>
    <row r="168" spans="2:12">
      <c r="B168" s="2">
        <v>3</v>
      </c>
      <c r="C168" s="2">
        <v>1</v>
      </c>
      <c r="D168" s="2">
        <v>1</v>
      </c>
      <c r="E168" s="2">
        <v>1</v>
      </c>
      <c r="F168" s="2">
        <v>2</v>
      </c>
      <c r="G168" s="2">
        <v>1</v>
      </c>
      <c r="H168" s="2">
        <v>2</v>
      </c>
      <c r="I168" s="2">
        <v>1</v>
      </c>
      <c r="J168" s="2">
        <v>1</v>
      </c>
      <c r="K168" s="2">
        <v>2</v>
      </c>
      <c r="L168" s="2" t="b">
        <f t="shared" si="31"/>
        <v>0</v>
      </c>
    </row>
    <row r="169" spans="2:12">
      <c r="B169" s="2">
        <v>1</v>
      </c>
      <c r="C169" s="2">
        <v>1</v>
      </c>
      <c r="D169" s="2">
        <v>1</v>
      </c>
      <c r="E169" s="2">
        <v>1</v>
      </c>
      <c r="F169" s="2">
        <v>2</v>
      </c>
      <c r="G169" s="2">
        <v>1</v>
      </c>
      <c r="H169" s="2">
        <v>3</v>
      </c>
      <c r="I169" s="2">
        <v>1</v>
      </c>
      <c r="J169" s="2">
        <v>1</v>
      </c>
      <c r="K169" s="2">
        <v>2</v>
      </c>
      <c r="L169" s="2" t="b">
        <f t="shared" si="31"/>
        <v>0</v>
      </c>
    </row>
    <row r="170" spans="2:12">
      <c r="B170" s="2">
        <v>5</v>
      </c>
      <c r="C170" s="2">
        <v>1</v>
      </c>
      <c r="D170" s="2">
        <v>1</v>
      </c>
      <c r="E170" s="2">
        <v>1</v>
      </c>
      <c r="F170" s="2">
        <v>2</v>
      </c>
      <c r="G170" s="2">
        <v>1</v>
      </c>
      <c r="H170" s="2">
        <v>3</v>
      </c>
      <c r="I170" s="2">
        <v>1</v>
      </c>
      <c r="J170" s="2">
        <v>1</v>
      </c>
      <c r="K170" s="2">
        <v>2</v>
      </c>
      <c r="L170" s="2" t="b">
        <f t="shared" si="31"/>
        <v>0</v>
      </c>
    </row>
    <row r="171" spans="2:12">
      <c r="B171" s="2">
        <v>1</v>
      </c>
      <c r="C171" s="2">
        <v>1</v>
      </c>
      <c r="D171" s="2">
        <v>1</v>
      </c>
      <c r="E171" s="2">
        <v>1</v>
      </c>
      <c r="F171" s="2">
        <v>2</v>
      </c>
      <c r="G171" s="2">
        <v>1</v>
      </c>
      <c r="H171" s="2">
        <v>3</v>
      </c>
      <c r="I171" s="2">
        <v>1</v>
      </c>
      <c r="J171" s="2">
        <v>1</v>
      </c>
      <c r="K171" s="2">
        <v>2</v>
      </c>
      <c r="L171" s="2" t="b">
        <f t="shared" si="31"/>
        <v>0</v>
      </c>
    </row>
    <row r="172" spans="2:12">
      <c r="B172" s="2">
        <v>1</v>
      </c>
      <c r="C172" s="2">
        <v>1</v>
      </c>
      <c r="D172" s="2">
        <v>1</v>
      </c>
      <c r="E172" s="2">
        <v>1</v>
      </c>
      <c r="F172" s="2">
        <v>1</v>
      </c>
      <c r="G172" s="2">
        <v>1</v>
      </c>
      <c r="H172" s="2">
        <v>3</v>
      </c>
      <c r="I172" s="2">
        <v>1</v>
      </c>
      <c r="J172" s="2">
        <v>1</v>
      </c>
      <c r="K172" s="2">
        <v>2</v>
      </c>
      <c r="L172" s="2" t="b">
        <f t="shared" si="31"/>
        <v>0</v>
      </c>
    </row>
    <row r="173" spans="2:12">
      <c r="B173" s="2">
        <v>1</v>
      </c>
      <c r="C173" s="2">
        <v>1</v>
      </c>
      <c r="D173" s="2">
        <v>1</v>
      </c>
      <c r="E173" s="2">
        <v>1</v>
      </c>
      <c r="F173" s="2">
        <v>1</v>
      </c>
      <c r="G173" s="2">
        <v>1</v>
      </c>
      <c r="H173" s="2">
        <v>3</v>
      </c>
      <c r="I173" s="2">
        <v>1</v>
      </c>
      <c r="J173" s="2">
        <v>1</v>
      </c>
      <c r="K173" s="2">
        <v>2</v>
      </c>
      <c r="L173" s="2" t="b">
        <f t="shared" si="31"/>
        <v>0</v>
      </c>
    </row>
    <row r="174" spans="2:12">
      <c r="B174" s="2">
        <v>5</v>
      </c>
      <c r="C174" s="2">
        <v>1</v>
      </c>
      <c r="D174" s="2">
        <v>1</v>
      </c>
      <c r="E174" s="2">
        <v>1</v>
      </c>
      <c r="F174" s="2">
        <v>1</v>
      </c>
      <c r="G174" s="2">
        <v>1</v>
      </c>
      <c r="H174" s="2">
        <v>3</v>
      </c>
      <c r="I174" s="2">
        <v>1</v>
      </c>
      <c r="J174" s="2">
        <v>1</v>
      </c>
      <c r="K174" s="2">
        <v>2</v>
      </c>
      <c r="L174" s="2" t="b">
        <f t="shared" si="31"/>
        <v>0</v>
      </c>
    </row>
    <row r="175" spans="2:12">
      <c r="B175" s="2">
        <v>1</v>
      </c>
      <c r="C175" s="2">
        <v>1</v>
      </c>
      <c r="D175" s="2">
        <v>1</v>
      </c>
      <c r="E175" s="2">
        <v>1</v>
      </c>
      <c r="F175" s="2">
        <v>2</v>
      </c>
      <c r="G175" s="2">
        <v>1</v>
      </c>
      <c r="H175" s="2">
        <v>3</v>
      </c>
      <c r="I175" s="2">
        <v>1</v>
      </c>
      <c r="J175" s="2">
        <v>1</v>
      </c>
      <c r="K175" s="2">
        <v>2</v>
      </c>
      <c r="L175" s="2" t="b">
        <f t="shared" si="31"/>
        <v>0</v>
      </c>
    </row>
    <row r="176" spans="2:12">
      <c r="B176" s="2">
        <v>1</v>
      </c>
      <c r="C176" s="2">
        <v>1</v>
      </c>
      <c r="D176" s="2">
        <v>1</v>
      </c>
      <c r="E176" s="2">
        <v>1</v>
      </c>
      <c r="F176" s="2">
        <v>2</v>
      </c>
      <c r="G176" s="2">
        <v>1</v>
      </c>
      <c r="H176" s="2">
        <v>2</v>
      </c>
      <c r="I176" s="2">
        <v>1</v>
      </c>
      <c r="J176" s="2">
        <v>1</v>
      </c>
      <c r="K176" s="2">
        <v>2</v>
      </c>
      <c r="L176" s="2" t="b">
        <f t="shared" si="31"/>
        <v>0</v>
      </c>
    </row>
    <row r="177" spans="2:12">
      <c r="B177" s="2">
        <v>1</v>
      </c>
      <c r="C177" s="2">
        <v>1</v>
      </c>
      <c r="D177" s="2">
        <v>1</v>
      </c>
      <c r="E177" s="2">
        <v>1</v>
      </c>
      <c r="F177" s="2">
        <v>2</v>
      </c>
      <c r="G177" s="2">
        <v>1</v>
      </c>
      <c r="H177" s="2">
        <v>3</v>
      </c>
      <c r="I177" s="2">
        <v>1</v>
      </c>
      <c r="J177" s="2">
        <v>1</v>
      </c>
      <c r="K177" s="2">
        <v>2</v>
      </c>
      <c r="L177" s="2" t="b">
        <f t="shared" si="31"/>
        <v>0</v>
      </c>
    </row>
    <row r="178" spans="2:12">
      <c r="B178" s="2">
        <v>6</v>
      </c>
      <c r="C178" s="2">
        <v>1</v>
      </c>
      <c r="D178" s="2">
        <v>3</v>
      </c>
      <c r="E178" s="2">
        <v>1</v>
      </c>
      <c r="F178" s="2">
        <v>2</v>
      </c>
      <c r="G178" s="2">
        <v>1</v>
      </c>
      <c r="H178" s="2">
        <v>3</v>
      </c>
      <c r="I178" s="2">
        <v>1</v>
      </c>
      <c r="J178" s="2">
        <v>1</v>
      </c>
      <c r="K178" s="2">
        <v>2</v>
      </c>
      <c r="L178" s="2" t="b">
        <f t="shared" si="31"/>
        <v>0</v>
      </c>
    </row>
    <row r="179" spans="2:12">
      <c r="B179" s="2">
        <v>1</v>
      </c>
      <c r="C179" s="2">
        <v>1</v>
      </c>
      <c r="D179" s="2">
        <v>1</v>
      </c>
      <c r="E179" s="2">
        <v>2</v>
      </c>
      <c r="F179" s="2">
        <v>2</v>
      </c>
      <c r="G179" s="2">
        <v>1</v>
      </c>
      <c r="H179" s="2">
        <v>3</v>
      </c>
      <c r="I179" s="2">
        <v>1</v>
      </c>
      <c r="J179" s="2">
        <v>1</v>
      </c>
      <c r="K179" s="2">
        <v>2</v>
      </c>
      <c r="L179" s="2" t="b">
        <f t="shared" si="31"/>
        <v>0</v>
      </c>
    </row>
    <row r="180" spans="2:12">
      <c r="B180" s="2">
        <v>1</v>
      </c>
      <c r="C180" s="2">
        <v>1</v>
      </c>
      <c r="D180" s="2">
        <v>1</v>
      </c>
      <c r="E180" s="2">
        <v>1</v>
      </c>
      <c r="F180" s="2">
        <v>2</v>
      </c>
      <c r="G180" s="2">
        <v>1</v>
      </c>
      <c r="H180" s="2">
        <v>2</v>
      </c>
      <c r="I180" s="2">
        <v>1</v>
      </c>
      <c r="J180" s="2">
        <v>1</v>
      </c>
      <c r="K180" s="2">
        <v>2</v>
      </c>
      <c r="L180" s="2" t="b">
        <f t="shared" si="31"/>
        <v>0</v>
      </c>
    </row>
    <row r="181" spans="2:12">
      <c r="B181" s="2">
        <v>1</v>
      </c>
      <c r="C181" s="2">
        <v>1</v>
      </c>
      <c r="D181" s="2">
        <v>1</v>
      </c>
      <c r="E181" s="2">
        <v>1</v>
      </c>
      <c r="F181" s="2">
        <v>1</v>
      </c>
      <c r="G181" s="2">
        <v>1</v>
      </c>
      <c r="H181" s="2">
        <v>3</v>
      </c>
      <c r="I181" s="2">
        <v>1</v>
      </c>
      <c r="J181" s="2">
        <v>1</v>
      </c>
      <c r="K181" s="2">
        <v>2</v>
      </c>
      <c r="L181" s="2" t="b">
        <f t="shared" si="31"/>
        <v>0</v>
      </c>
    </row>
    <row r="182" spans="2:12">
      <c r="B182" s="2">
        <v>3</v>
      </c>
      <c r="C182" s="2">
        <v>1</v>
      </c>
      <c r="D182" s="2">
        <v>1</v>
      </c>
      <c r="E182" s="2">
        <v>3</v>
      </c>
      <c r="F182" s="2">
        <v>1</v>
      </c>
      <c r="G182" s="2">
        <v>1</v>
      </c>
      <c r="H182" s="2">
        <v>3</v>
      </c>
      <c r="I182" s="2">
        <v>1</v>
      </c>
      <c r="J182" s="2">
        <v>1</v>
      </c>
      <c r="K182" s="2">
        <v>2</v>
      </c>
      <c r="L182" s="2" t="b">
        <f t="shared" si="31"/>
        <v>0</v>
      </c>
    </row>
    <row r="183" spans="2:12">
      <c r="B183" s="2">
        <v>2</v>
      </c>
      <c r="C183" s="2">
        <v>1</v>
      </c>
      <c r="D183" s="2">
        <v>1</v>
      </c>
      <c r="E183" s="2">
        <v>1</v>
      </c>
      <c r="F183" s="2">
        <v>2</v>
      </c>
      <c r="G183" s="2">
        <v>1</v>
      </c>
      <c r="H183" s="2">
        <v>3</v>
      </c>
      <c r="I183" s="2">
        <v>1</v>
      </c>
      <c r="J183" s="2">
        <v>1</v>
      </c>
      <c r="K183" s="2">
        <v>2</v>
      </c>
      <c r="L183" s="2" t="b">
        <f t="shared" si="31"/>
        <v>0</v>
      </c>
    </row>
    <row r="184" spans="2:12">
      <c r="B184" s="2">
        <v>1</v>
      </c>
      <c r="C184" s="2">
        <v>1</v>
      </c>
      <c r="D184" s="2">
        <v>1</v>
      </c>
      <c r="E184" s="2">
        <v>1</v>
      </c>
      <c r="F184" s="2">
        <v>2</v>
      </c>
      <c r="G184" s="2">
        <v>1</v>
      </c>
      <c r="H184" s="2">
        <v>3</v>
      </c>
      <c r="I184" s="2">
        <v>1</v>
      </c>
      <c r="J184" s="2">
        <v>1</v>
      </c>
      <c r="K184" s="2">
        <v>2</v>
      </c>
      <c r="L184" s="2" t="b">
        <f t="shared" si="31"/>
        <v>0</v>
      </c>
    </row>
    <row r="185" spans="2:12">
      <c r="B185" s="2">
        <v>4</v>
      </c>
      <c r="C185" s="2">
        <v>1</v>
      </c>
      <c r="D185" s="2">
        <v>1</v>
      </c>
      <c r="E185" s="2">
        <v>1</v>
      </c>
      <c r="F185" s="2">
        <v>2</v>
      </c>
      <c r="G185" s="2">
        <v>1</v>
      </c>
      <c r="H185" s="2">
        <v>3</v>
      </c>
      <c r="I185" s="2">
        <v>6</v>
      </c>
      <c r="J185" s="2">
        <v>1</v>
      </c>
      <c r="K185" s="2">
        <v>2</v>
      </c>
      <c r="L185" s="2" t="b">
        <f t="shared" si="31"/>
        <v>0</v>
      </c>
    </row>
    <row r="186" spans="2:12">
      <c r="B186" s="2">
        <v>3</v>
      </c>
      <c r="C186" s="2">
        <v>1</v>
      </c>
      <c r="D186" s="2">
        <v>1</v>
      </c>
      <c r="E186" s="2">
        <v>1</v>
      </c>
      <c r="F186" s="2">
        <v>2</v>
      </c>
      <c r="G186" s="2">
        <v>1</v>
      </c>
      <c r="H186" s="2">
        <v>1</v>
      </c>
      <c r="I186" s="2">
        <v>1</v>
      </c>
      <c r="J186" s="2">
        <v>1</v>
      </c>
      <c r="K186" s="2">
        <v>2</v>
      </c>
      <c r="L186" s="2" t="b">
        <f t="shared" si="31"/>
        <v>0</v>
      </c>
    </row>
    <row r="187" spans="2:12">
      <c r="B187" s="2">
        <v>3</v>
      </c>
      <c r="C187" s="2">
        <v>1</v>
      </c>
      <c r="D187" s="2">
        <v>1</v>
      </c>
      <c r="E187" s="2">
        <v>1</v>
      </c>
      <c r="F187" s="2">
        <v>2</v>
      </c>
      <c r="G187" s="2">
        <v>1</v>
      </c>
      <c r="H187" s="2">
        <v>2</v>
      </c>
      <c r="I187" s="2">
        <v>1</v>
      </c>
      <c r="J187" s="2">
        <v>1</v>
      </c>
      <c r="K187" s="2">
        <v>2</v>
      </c>
      <c r="L187" s="2" t="b">
        <f t="shared" si="31"/>
        <v>0</v>
      </c>
    </row>
    <row r="188" spans="2:12">
      <c r="B188" s="2">
        <v>3</v>
      </c>
      <c r="C188" s="2">
        <v>1</v>
      </c>
      <c r="D188" s="2">
        <v>1</v>
      </c>
      <c r="E188" s="2">
        <v>1</v>
      </c>
      <c r="F188" s="2">
        <v>2</v>
      </c>
      <c r="G188" s="2">
        <v>1</v>
      </c>
      <c r="H188" s="2">
        <v>3</v>
      </c>
      <c r="I188" s="2">
        <v>1</v>
      </c>
      <c r="J188" s="2">
        <v>1</v>
      </c>
      <c r="K188" s="2">
        <v>2</v>
      </c>
      <c r="L188" s="2" t="b">
        <f t="shared" si="31"/>
        <v>0</v>
      </c>
    </row>
    <row r="189" spans="2:12">
      <c r="B189" s="2">
        <v>5</v>
      </c>
      <c r="C189" s="2">
        <v>1</v>
      </c>
      <c r="D189" s="2">
        <v>4</v>
      </c>
      <c r="E189" s="2">
        <v>1</v>
      </c>
      <c r="F189" s="2">
        <v>2</v>
      </c>
      <c r="G189" s="2">
        <v>1</v>
      </c>
      <c r="H189" s="2">
        <v>3</v>
      </c>
      <c r="I189" s="2">
        <v>2</v>
      </c>
      <c r="J189" s="2">
        <v>1</v>
      </c>
      <c r="K189" s="2">
        <v>2</v>
      </c>
      <c r="L189" s="2" t="b">
        <f t="shared" si="31"/>
        <v>0</v>
      </c>
    </row>
    <row r="190" spans="2:12">
      <c r="B190" s="2">
        <v>1</v>
      </c>
      <c r="C190" s="2">
        <v>1</v>
      </c>
      <c r="D190" s="2">
        <v>1</v>
      </c>
      <c r="E190" s="2">
        <v>1</v>
      </c>
      <c r="F190" s="2">
        <v>2</v>
      </c>
      <c r="G190" s="2">
        <v>1</v>
      </c>
      <c r="H190" s="2">
        <v>3</v>
      </c>
      <c r="I190" s="2">
        <v>1</v>
      </c>
      <c r="J190" s="2">
        <v>1</v>
      </c>
      <c r="K190" s="2">
        <v>2</v>
      </c>
      <c r="L190" s="2" t="b">
        <f t="shared" si="31"/>
        <v>0</v>
      </c>
    </row>
    <row r="191" spans="2:12">
      <c r="B191" s="2">
        <v>5</v>
      </c>
      <c r="C191" s="2">
        <v>1</v>
      </c>
      <c r="D191" s="2">
        <v>1</v>
      </c>
      <c r="E191" s="2">
        <v>1</v>
      </c>
      <c r="F191" s="2">
        <v>2</v>
      </c>
      <c r="G191" s="2">
        <v>1</v>
      </c>
      <c r="H191" s="2">
        <v>3</v>
      </c>
      <c r="I191" s="2">
        <v>1</v>
      </c>
      <c r="J191" s="2">
        <v>1</v>
      </c>
      <c r="K191" s="2">
        <v>2</v>
      </c>
      <c r="L191" s="2" t="b">
        <f t="shared" si="31"/>
        <v>0</v>
      </c>
    </row>
    <row r="192" spans="2:12">
      <c r="B192" s="2">
        <v>3</v>
      </c>
      <c r="C192" s="2">
        <v>1</v>
      </c>
      <c r="D192" s="2">
        <v>1</v>
      </c>
      <c r="E192" s="2">
        <v>1</v>
      </c>
      <c r="F192" s="2">
        <v>2</v>
      </c>
      <c r="G192" s="2">
        <v>1</v>
      </c>
      <c r="H192" s="2">
        <v>3</v>
      </c>
      <c r="I192" s="2">
        <v>2</v>
      </c>
      <c r="J192" s="2">
        <v>1</v>
      </c>
      <c r="K192" s="2">
        <v>2</v>
      </c>
      <c r="L192" s="2" t="b">
        <f t="shared" si="31"/>
        <v>0</v>
      </c>
    </row>
    <row r="193" spans="2:12">
      <c r="B193" s="2">
        <v>3</v>
      </c>
      <c r="C193" s="2">
        <v>1</v>
      </c>
      <c r="D193" s="2">
        <v>1</v>
      </c>
      <c r="E193" s="2">
        <v>1</v>
      </c>
      <c r="F193" s="2">
        <v>2</v>
      </c>
      <c r="G193" s="2">
        <v>1</v>
      </c>
      <c r="H193" s="2">
        <v>2</v>
      </c>
      <c r="I193" s="2">
        <v>1</v>
      </c>
      <c r="J193" s="2">
        <v>1</v>
      </c>
      <c r="K193" s="2">
        <v>2</v>
      </c>
      <c r="L193" s="2" t="b">
        <f t="shared" si="31"/>
        <v>0</v>
      </c>
    </row>
    <row r="194" spans="2:12">
      <c r="B194" s="2">
        <v>1</v>
      </c>
      <c r="C194" s="2">
        <v>1</v>
      </c>
      <c r="D194" s="2">
        <v>1</v>
      </c>
      <c r="E194" s="2">
        <v>1</v>
      </c>
      <c r="F194" s="2">
        <v>2</v>
      </c>
      <c r="G194" s="2">
        <v>1</v>
      </c>
      <c r="H194" s="2">
        <v>2</v>
      </c>
      <c r="I194" s="2">
        <v>1</v>
      </c>
      <c r="J194" s="2">
        <v>1</v>
      </c>
      <c r="K194" s="2">
        <v>2</v>
      </c>
      <c r="L194" s="2" t="b">
        <f t="shared" si="31"/>
        <v>0</v>
      </c>
    </row>
    <row r="195" spans="2:12">
      <c r="B195" s="2">
        <v>1</v>
      </c>
      <c r="C195" s="2">
        <v>1</v>
      </c>
      <c r="D195" s="2">
        <v>1</v>
      </c>
      <c r="E195" s="2">
        <v>1</v>
      </c>
      <c r="F195" s="2">
        <v>2</v>
      </c>
      <c r="G195" s="2">
        <v>1</v>
      </c>
      <c r="H195" s="2">
        <v>3</v>
      </c>
      <c r="I195" s="2">
        <v>1</v>
      </c>
      <c r="J195" s="2">
        <v>1</v>
      </c>
      <c r="K195" s="2">
        <v>2</v>
      </c>
      <c r="L195" s="2" t="b">
        <f t="shared" si="31"/>
        <v>0</v>
      </c>
    </row>
    <row r="196" spans="2:12">
      <c r="B196" s="2">
        <v>3</v>
      </c>
      <c r="C196" s="2">
        <v>1</v>
      </c>
      <c r="D196" s="2">
        <v>1</v>
      </c>
      <c r="E196" s="2">
        <v>1</v>
      </c>
      <c r="F196" s="2">
        <v>2</v>
      </c>
      <c r="G196" s="2">
        <v>1</v>
      </c>
      <c r="H196" s="2">
        <v>3</v>
      </c>
      <c r="I196" s="2">
        <v>1</v>
      </c>
      <c r="J196" s="2">
        <v>1</v>
      </c>
      <c r="K196" s="2">
        <v>2</v>
      </c>
      <c r="L196" s="2" t="b">
        <f t="shared" si="31"/>
        <v>0</v>
      </c>
    </row>
    <row r="197" spans="2:12">
      <c r="B197" s="2">
        <v>2</v>
      </c>
      <c r="C197" s="2">
        <v>1</v>
      </c>
      <c r="D197" s="2">
        <v>1</v>
      </c>
      <c r="E197" s="2">
        <v>2</v>
      </c>
      <c r="F197" s="2">
        <v>2</v>
      </c>
      <c r="G197" s="2">
        <v>1</v>
      </c>
      <c r="H197" s="2">
        <v>3</v>
      </c>
      <c r="I197" s="2">
        <v>1</v>
      </c>
      <c r="J197" s="2">
        <v>1</v>
      </c>
      <c r="K197" s="2">
        <v>2</v>
      </c>
      <c r="L197" s="2" t="b">
        <f t="shared" si="31"/>
        <v>0</v>
      </c>
    </row>
    <row r="198" spans="2:12">
      <c r="B198" s="2">
        <v>3</v>
      </c>
      <c r="C198" s="2">
        <v>1</v>
      </c>
      <c r="D198" s="2">
        <v>1</v>
      </c>
      <c r="E198" s="2">
        <v>1</v>
      </c>
      <c r="F198" s="2">
        <v>3</v>
      </c>
      <c r="G198" s="2">
        <v>1</v>
      </c>
      <c r="H198" s="2">
        <v>2</v>
      </c>
      <c r="I198" s="2">
        <v>1</v>
      </c>
      <c r="J198" s="2">
        <v>1</v>
      </c>
      <c r="K198" s="2">
        <v>2</v>
      </c>
      <c r="L198" s="2" t="b">
        <f t="shared" si="31"/>
        <v>0</v>
      </c>
    </row>
    <row r="199" spans="2:12">
      <c r="B199" s="2">
        <v>1</v>
      </c>
      <c r="C199" s="2">
        <v>1</v>
      </c>
      <c r="D199" s="2">
        <v>1</v>
      </c>
      <c r="E199" s="2">
        <v>1</v>
      </c>
      <c r="F199" s="2">
        <v>2</v>
      </c>
      <c r="G199" s="2">
        <v>1</v>
      </c>
      <c r="H199" s="2">
        <v>1</v>
      </c>
      <c r="I199" s="2">
        <v>1</v>
      </c>
      <c r="J199" s="2">
        <v>1</v>
      </c>
      <c r="K199" s="2">
        <v>2</v>
      </c>
      <c r="L199" s="2" t="b">
        <f t="shared" si="31"/>
        <v>0</v>
      </c>
    </row>
    <row r="200" spans="2:12">
      <c r="B200" s="2">
        <v>1</v>
      </c>
      <c r="C200" s="2">
        <v>1</v>
      </c>
      <c r="D200" s="2">
        <v>1</v>
      </c>
      <c r="E200" s="2">
        <v>1</v>
      </c>
      <c r="F200" s="2">
        <v>2</v>
      </c>
      <c r="G200" s="2">
        <v>1</v>
      </c>
      <c r="H200" s="2">
        <v>3</v>
      </c>
      <c r="I200" s="2">
        <v>1</v>
      </c>
      <c r="J200" s="2">
        <v>1</v>
      </c>
      <c r="K200" s="2">
        <v>2</v>
      </c>
      <c r="L200" s="2" t="b">
        <f t="shared" si="31"/>
        <v>0</v>
      </c>
    </row>
    <row r="201" spans="2:12">
      <c r="B201" s="2">
        <v>1</v>
      </c>
      <c r="C201" s="2">
        <v>1</v>
      </c>
      <c r="D201" s="2">
        <v>1</v>
      </c>
      <c r="E201" s="2">
        <v>1</v>
      </c>
      <c r="F201" s="2">
        <v>2</v>
      </c>
      <c r="G201" s="2">
        <v>1</v>
      </c>
      <c r="H201" s="2">
        <v>3</v>
      </c>
      <c r="I201" s="2">
        <v>1</v>
      </c>
      <c r="J201" s="2">
        <v>1</v>
      </c>
      <c r="K201" s="2">
        <v>2</v>
      </c>
      <c r="L201" s="2" t="b">
        <f t="shared" si="31"/>
        <v>0</v>
      </c>
    </row>
    <row r="202" spans="2:12">
      <c r="B202" s="2">
        <v>1</v>
      </c>
      <c r="C202" s="2">
        <v>1</v>
      </c>
      <c r="D202" s="2">
        <v>1</v>
      </c>
      <c r="E202" s="2">
        <v>1</v>
      </c>
      <c r="F202" s="2">
        <v>2</v>
      </c>
      <c r="G202" s="2">
        <v>1</v>
      </c>
      <c r="H202" s="2">
        <v>3</v>
      </c>
      <c r="I202" s="2">
        <v>1</v>
      </c>
      <c r="J202" s="2">
        <v>1</v>
      </c>
      <c r="K202" s="2">
        <v>2</v>
      </c>
      <c r="L202" s="2" t="b">
        <f t="shared" si="31"/>
        <v>0</v>
      </c>
    </row>
    <row r="203" spans="2:12">
      <c r="B203" s="2">
        <v>1</v>
      </c>
      <c r="C203" s="2">
        <v>1</v>
      </c>
      <c r="D203" s="2">
        <v>1</v>
      </c>
      <c r="E203" s="2">
        <v>1</v>
      </c>
      <c r="F203" s="2">
        <v>2</v>
      </c>
      <c r="G203" s="2">
        <v>1</v>
      </c>
      <c r="H203" s="2">
        <v>3</v>
      </c>
      <c r="I203" s="2">
        <v>1</v>
      </c>
      <c r="J203" s="2">
        <v>1</v>
      </c>
      <c r="K203" s="2">
        <v>2</v>
      </c>
      <c r="L203" s="2" t="b">
        <f t="shared" si="31"/>
        <v>0</v>
      </c>
    </row>
    <row r="204" spans="2:12">
      <c r="B204" s="2">
        <v>1</v>
      </c>
      <c r="C204" s="2">
        <v>1</v>
      </c>
      <c r="D204" s="2">
        <v>1</v>
      </c>
      <c r="E204" s="2">
        <v>1</v>
      </c>
      <c r="F204" s="2">
        <v>2</v>
      </c>
      <c r="G204" s="2">
        <v>1</v>
      </c>
      <c r="H204" s="2">
        <v>3</v>
      </c>
      <c r="I204" s="2">
        <v>1</v>
      </c>
      <c r="J204" s="2">
        <v>1</v>
      </c>
      <c r="K204" s="2">
        <v>2</v>
      </c>
      <c r="L204" s="2" t="b">
        <f t="shared" si="31"/>
        <v>0</v>
      </c>
    </row>
    <row r="205" spans="2:12">
      <c r="B205" s="2">
        <v>2</v>
      </c>
      <c r="C205" s="2">
        <v>1</v>
      </c>
      <c r="D205" s="2">
        <v>1</v>
      </c>
      <c r="E205" s="2">
        <v>1</v>
      </c>
      <c r="F205" s="2">
        <v>3</v>
      </c>
      <c r="G205" s="2">
        <v>1</v>
      </c>
      <c r="H205" s="2">
        <v>2</v>
      </c>
      <c r="I205" s="2">
        <v>1</v>
      </c>
      <c r="J205" s="2">
        <v>1</v>
      </c>
      <c r="K205" s="2">
        <v>2</v>
      </c>
      <c r="L205" s="2" t="b">
        <f t="shared" si="31"/>
        <v>0</v>
      </c>
    </row>
    <row r="206" spans="2:12">
      <c r="B206" s="2">
        <v>1</v>
      </c>
      <c r="C206" s="2">
        <v>1</v>
      </c>
      <c r="D206" s="2">
        <v>1</v>
      </c>
      <c r="E206" s="2">
        <v>1</v>
      </c>
      <c r="F206" s="2">
        <v>2</v>
      </c>
      <c r="G206" s="2">
        <v>1</v>
      </c>
      <c r="H206" s="2">
        <v>1</v>
      </c>
      <c r="I206" s="2">
        <v>1</v>
      </c>
      <c r="J206" s="2">
        <v>1</v>
      </c>
      <c r="K206" s="2">
        <v>2</v>
      </c>
      <c r="L206" s="2" t="b">
        <f t="shared" si="31"/>
        <v>0</v>
      </c>
    </row>
    <row r="207" spans="2:12">
      <c r="B207" s="2">
        <v>1</v>
      </c>
      <c r="C207" s="2">
        <v>1</v>
      </c>
      <c r="D207" s="2">
        <v>1</v>
      </c>
      <c r="E207" s="2">
        <v>1</v>
      </c>
      <c r="F207" s="2">
        <v>2</v>
      </c>
      <c r="G207" s="2">
        <v>1</v>
      </c>
      <c r="H207" s="2">
        <v>1</v>
      </c>
      <c r="I207" s="2">
        <v>1</v>
      </c>
      <c r="J207" s="2">
        <v>1</v>
      </c>
      <c r="K207" s="2">
        <v>2</v>
      </c>
      <c r="L207" s="2" t="b">
        <f t="shared" si="31"/>
        <v>0</v>
      </c>
    </row>
    <row r="208" spans="2:12">
      <c r="B208" s="2">
        <v>1</v>
      </c>
      <c r="C208" s="2">
        <v>1</v>
      </c>
      <c r="D208" s="2">
        <v>1</v>
      </c>
      <c r="E208" s="2">
        <v>1</v>
      </c>
      <c r="F208" s="2">
        <v>1</v>
      </c>
      <c r="G208" s="2">
        <v>1</v>
      </c>
      <c r="H208" s="2">
        <v>2</v>
      </c>
      <c r="I208" s="2">
        <v>1</v>
      </c>
      <c r="J208" s="2">
        <v>1</v>
      </c>
      <c r="K208" s="2">
        <v>2</v>
      </c>
      <c r="L208" s="2" t="b">
        <f t="shared" si="31"/>
        <v>0</v>
      </c>
    </row>
    <row r="209" spans="2:12">
      <c r="B209" s="2">
        <v>1</v>
      </c>
      <c r="C209" s="2">
        <v>1</v>
      </c>
      <c r="D209" s="2">
        <v>1</v>
      </c>
      <c r="E209" s="2">
        <v>1</v>
      </c>
      <c r="F209" s="2">
        <v>5</v>
      </c>
      <c r="G209" s="2">
        <v>1</v>
      </c>
      <c r="H209" s="2">
        <v>3</v>
      </c>
      <c r="I209" s="2">
        <v>1</v>
      </c>
      <c r="J209" s="2">
        <v>1</v>
      </c>
      <c r="K209" s="2">
        <v>2</v>
      </c>
      <c r="L209" s="2" t="b">
        <f t="shared" si="31"/>
        <v>0</v>
      </c>
    </row>
    <row r="210" spans="2:12">
      <c r="B210" s="2">
        <v>3</v>
      </c>
      <c r="C210" s="2">
        <v>1</v>
      </c>
      <c r="D210" s="2">
        <v>1</v>
      </c>
      <c r="E210" s="2">
        <v>1</v>
      </c>
      <c r="F210" s="2">
        <v>2</v>
      </c>
      <c r="G210" s="2">
        <v>1</v>
      </c>
      <c r="H210" s="2">
        <v>3</v>
      </c>
      <c r="I210" s="2">
        <v>1</v>
      </c>
      <c r="J210" s="2">
        <v>1</v>
      </c>
      <c r="K210" s="2">
        <v>2</v>
      </c>
      <c r="L210" s="2" t="b">
        <f t="shared" si="31"/>
        <v>0</v>
      </c>
    </row>
    <row r="211" spans="2:12">
      <c r="B211" s="2">
        <v>1</v>
      </c>
      <c r="C211" s="2">
        <v>1</v>
      </c>
      <c r="D211" s="2">
        <v>1</v>
      </c>
      <c r="E211" s="2">
        <v>1</v>
      </c>
      <c r="F211" s="2">
        <v>2</v>
      </c>
      <c r="G211" s="2">
        <v>1</v>
      </c>
      <c r="H211" s="2">
        <v>3</v>
      </c>
      <c r="I211" s="2">
        <v>1</v>
      </c>
      <c r="J211" s="2">
        <v>1</v>
      </c>
      <c r="K211" s="2">
        <v>2</v>
      </c>
      <c r="L211" s="2" t="b">
        <f t="shared" si="31"/>
        <v>0</v>
      </c>
    </row>
    <row r="212" spans="2:12">
      <c r="B212" s="2">
        <v>1</v>
      </c>
      <c r="C212" s="2">
        <v>1</v>
      </c>
      <c r="D212" s="2">
        <v>1</v>
      </c>
      <c r="E212" s="2">
        <v>1</v>
      </c>
      <c r="F212" s="2">
        <v>2</v>
      </c>
      <c r="G212" s="2">
        <v>1</v>
      </c>
      <c r="H212" s="2">
        <v>2</v>
      </c>
      <c r="I212" s="2">
        <v>1</v>
      </c>
      <c r="J212" s="2">
        <v>1</v>
      </c>
      <c r="K212" s="2">
        <v>2</v>
      </c>
      <c r="L212" s="2" t="b">
        <f t="shared" si="31"/>
        <v>0</v>
      </c>
    </row>
    <row r="213" spans="2:12">
      <c r="B213" s="2">
        <v>5</v>
      </c>
      <c r="C213" s="2">
        <v>1</v>
      </c>
      <c r="D213" s="2">
        <v>1</v>
      </c>
      <c r="E213" s="2">
        <v>1</v>
      </c>
      <c r="F213" s="2">
        <v>2</v>
      </c>
      <c r="G213" s="2">
        <v>1</v>
      </c>
      <c r="H213" s="2">
        <v>3</v>
      </c>
      <c r="I213" s="2">
        <v>1</v>
      </c>
      <c r="J213" s="2">
        <v>2</v>
      </c>
      <c r="K213" s="2">
        <v>2</v>
      </c>
      <c r="L213" s="2" t="b">
        <f t="shared" si="31"/>
        <v>0</v>
      </c>
    </row>
    <row r="214" spans="2:12">
      <c r="B214" s="2">
        <v>1</v>
      </c>
      <c r="C214" s="2">
        <v>1</v>
      </c>
      <c r="D214" s="2">
        <v>1</v>
      </c>
      <c r="E214" s="2">
        <v>1</v>
      </c>
      <c r="F214" s="2">
        <v>2</v>
      </c>
      <c r="G214" s="2">
        <v>1</v>
      </c>
      <c r="H214" s="2">
        <v>1</v>
      </c>
      <c r="I214" s="2">
        <v>1</v>
      </c>
      <c r="J214" s="2">
        <v>1</v>
      </c>
      <c r="K214" s="2">
        <v>2</v>
      </c>
      <c r="L214" s="2" t="b">
        <f t="shared" si="31"/>
        <v>0</v>
      </c>
    </row>
    <row r="215" spans="2:12">
      <c r="B215" s="2">
        <v>1</v>
      </c>
      <c r="C215" s="2">
        <v>1</v>
      </c>
      <c r="D215" s="2">
        <v>1</v>
      </c>
      <c r="E215" s="2">
        <v>1</v>
      </c>
      <c r="F215" s="2">
        <v>2</v>
      </c>
      <c r="G215" s="2">
        <v>1</v>
      </c>
      <c r="H215" s="2">
        <v>3</v>
      </c>
      <c r="I215" s="2">
        <v>1</v>
      </c>
      <c r="J215" s="2">
        <v>1</v>
      </c>
      <c r="K215" s="2">
        <v>2</v>
      </c>
      <c r="L215" s="2" t="b">
        <f t="shared" si="31"/>
        <v>0</v>
      </c>
    </row>
    <row r="216" spans="2:12">
      <c r="B216" s="2">
        <v>1</v>
      </c>
      <c r="C216" s="2">
        <v>1</v>
      </c>
      <c r="D216" s="2">
        <v>1</v>
      </c>
      <c r="E216" s="2">
        <v>1</v>
      </c>
      <c r="F216" s="2">
        <v>1</v>
      </c>
      <c r="G216" s="2">
        <v>1</v>
      </c>
      <c r="H216" s="2">
        <v>2</v>
      </c>
      <c r="I216" s="2">
        <v>1</v>
      </c>
      <c r="J216" s="2">
        <v>1</v>
      </c>
      <c r="K216" s="2">
        <v>2</v>
      </c>
      <c r="L216" s="2" t="b">
        <f t="shared" si="31"/>
        <v>0</v>
      </c>
    </row>
    <row r="217" spans="2:12">
      <c r="B217" s="2">
        <v>1</v>
      </c>
      <c r="C217" s="2">
        <v>1</v>
      </c>
      <c r="D217" s="2">
        <v>1</v>
      </c>
      <c r="E217" s="2">
        <v>1</v>
      </c>
      <c r="F217" s="2">
        <v>2</v>
      </c>
      <c r="G217" s="2">
        <v>1</v>
      </c>
      <c r="H217" s="2">
        <v>3</v>
      </c>
      <c r="I217" s="2">
        <v>1</v>
      </c>
      <c r="J217" s="2">
        <v>1</v>
      </c>
      <c r="K217" s="2">
        <v>2</v>
      </c>
      <c r="L217" s="2" t="b">
        <f t="shared" si="31"/>
        <v>0</v>
      </c>
    </row>
    <row r="218" spans="2:12">
      <c r="B218" s="2">
        <v>2</v>
      </c>
      <c r="C218" s="2">
        <v>1</v>
      </c>
      <c r="D218" s="2">
        <v>1</v>
      </c>
      <c r="E218" s="2">
        <v>1</v>
      </c>
      <c r="F218" s="2">
        <v>2</v>
      </c>
      <c r="G218" s="2">
        <v>1</v>
      </c>
      <c r="H218" s="2">
        <v>1</v>
      </c>
      <c r="I218" s="2">
        <v>1</v>
      </c>
      <c r="J218" s="2">
        <v>1</v>
      </c>
      <c r="K218" s="2">
        <v>2</v>
      </c>
      <c r="L218" s="2" t="b">
        <f t="shared" ref="L218:L281" si="32">IF(K218=4, TRUE, FALSE)</f>
        <v>0</v>
      </c>
    </row>
    <row r="219" spans="2:12">
      <c r="B219" s="2">
        <v>1</v>
      </c>
      <c r="C219" s="2">
        <v>1</v>
      </c>
      <c r="D219" s="2">
        <v>1</v>
      </c>
      <c r="E219" s="2">
        <v>1</v>
      </c>
      <c r="F219" s="2">
        <v>2</v>
      </c>
      <c r="G219" s="2">
        <v>1</v>
      </c>
      <c r="H219" s="2">
        <v>1</v>
      </c>
      <c r="I219" s="2">
        <v>1</v>
      </c>
      <c r="J219" s="2">
        <v>1</v>
      </c>
      <c r="K219" s="2">
        <v>2</v>
      </c>
      <c r="L219" s="2" t="b">
        <f t="shared" si="32"/>
        <v>0</v>
      </c>
    </row>
    <row r="220" spans="2:12">
      <c r="B220" s="2">
        <v>1</v>
      </c>
      <c r="C220" s="2">
        <v>1</v>
      </c>
      <c r="D220" s="2">
        <v>1</v>
      </c>
      <c r="E220" s="2">
        <v>1</v>
      </c>
      <c r="F220" s="2">
        <v>2</v>
      </c>
      <c r="G220" s="2">
        <v>1</v>
      </c>
      <c r="H220" s="2">
        <v>1</v>
      </c>
      <c r="I220" s="2">
        <v>1</v>
      </c>
      <c r="J220" s="2">
        <v>1</v>
      </c>
      <c r="K220" s="2">
        <v>2</v>
      </c>
      <c r="L220" s="2" t="b">
        <f t="shared" si="32"/>
        <v>0</v>
      </c>
    </row>
    <row r="221" spans="2:12">
      <c r="B221" s="2">
        <v>1</v>
      </c>
      <c r="C221" s="2">
        <v>1</v>
      </c>
      <c r="D221" s="2">
        <v>1</v>
      </c>
      <c r="E221" s="2">
        <v>1</v>
      </c>
      <c r="F221" s="2">
        <v>1</v>
      </c>
      <c r="G221" s="2">
        <v>1</v>
      </c>
      <c r="H221" s="2">
        <v>1</v>
      </c>
      <c r="I221" s="2">
        <v>3</v>
      </c>
      <c r="J221" s="2">
        <v>1</v>
      </c>
      <c r="K221" s="2">
        <v>2</v>
      </c>
      <c r="L221" s="2" t="b">
        <f t="shared" si="32"/>
        <v>0</v>
      </c>
    </row>
    <row r="222" spans="2:12">
      <c r="B222" s="2">
        <v>5</v>
      </c>
      <c r="C222" s="2">
        <v>1</v>
      </c>
      <c r="D222" s="2">
        <v>1</v>
      </c>
      <c r="E222" s="2">
        <v>3</v>
      </c>
      <c r="F222" s="2">
        <v>2</v>
      </c>
      <c r="G222" s="2">
        <v>1</v>
      </c>
      <c r="H222" s="2">
        <v>1</v>
      </c>
      <c r="I222" s="2">
        <v>1</v>
      </c>
      <c r="J222" s="2">
        <v>1</v>
      </c>
      <c r="K222" s="2">
        <v>2</v>
      </c>
      <c r="L222" s="2" t="b">
        <f t="shared" si="32"/>
        <v>0</v>
      </c>
    </row>
    <row r="223" spans="2:12">
      <c r="B223" s="2">
        <v>2</v>
      </c>
      <c r="C223" s="2">
        <v>1</v>
      </c>
      <c r="D223" s="2">
        <v>1</v>
      </c>
      <c r="E223" s="2">
        <v>1</v>
      </c>
      <c r="F223" s="2">
        <v>2</v>
      </c>
      <c r="G223" s="2">
        <v>1</v>
      </c>
      <c r="H223" s="2">
        <v>3</v>
      </c>
      <c r="I223" s="2">
        <v>1</v>
      </c>
      <c r="J223" s="2">
        <v>1</v>
      </c>
      <c r="K223" s="2">
        <v>2</v>
      </c>
      <c r="L223" s="2" t="b">
        <f t="shared" si="32"/>
        <v>0</v>
      </c>
    </row>
    <row r="224" spans="2:12">
      <c r="B224" s="2">
        <v>1</v>
      </c>
      <c r="C224" s="2">
        <v>1</v>
      </c>
      <c r="D224" s="2">
        <v>1</v>
      </c>
      <c r="E224" s="2">
        <v>1</v>
      </c>
      <c r="F224" s="2">
        <v>2</v>
      </c>
      <c r="G224" s="2">
        <v>1</v>
      </c>
      <c r="H224" s="2">
        <v>2</v>
      </c>
      <c r="I224" s="2">
        <v>1</v>
      </c>
      <c r="J224" s="2">
        <v>1</v>
      </c>
      <c r="K224" s="2">
        <v>2</v>
      </c>
      <c r="L224" s="2" t="b">
        <f t="shared" si="32"/>
        <v>0</v>
      </c>
    </row>
    <row r="225" spans="2:12">
      <c r="B225" s="2">
        <v>4</v>
      </c>
      <c r="C225" s="2">
        <v>1</v>
      </c>
      <c r="D225" s="2">
        <v>1</v>
      </c>
      <c r="E225" s="2">
        <v>1</v>
      </c>
      <c r="F225" s="2">
        <v>3</v>
      </c>
      <c r="G225" s="2">
        <v>1</v>
      </c>
      <c r="H225" s="2">
        <v>2</v>
      </c>
      <c r="I225" s="2">
        <v>2</v>
      </c>
      <c r="J225" s="2">
        <v>1</v>
      </c>
      <c r="K225" s="2">
        <v>2</v>
      </c>
      <c r="L225" s="2" t="b">
        <f t="shared" si="32"/>
        <v>0</v>
      </c>
    </row>
    <row r="226" spans="2:12">
      <c r="B226" s="2">
        <v>2</v>
      </c>
      <c r="C226" s="2">
        <v>1</v>
      </c>
      <c r="D226" s="2">
        <v>1</v>
      </c>
      <c r="E226" s="2">
        <v>1</v>
      </c>
      <c r="F226" s="2">
        <v>2</v>
      </c>
      <c r="G226" s="2">
        <v>1</v>
      </c>
      <c r="H226" s="2">
        <v>3</v>
      </c>
      <c r="I226" s="2">
        <v>1</v>
      </c>
      <c r="J226" s="2">
        <v>1</v>
      </c>
      <c r="K226" s="2">
        <v>2</v>
      </c>
      <c r="L226" s="2" t="b">
        <f t="shared" si="32"/>
        <v>0</v>
      </c>
    </row>
    <row r="227" spans="2:12">
      <c r="B227" s="2">
        <v>2</v>
      </c>
      <c r="C227" s="2">
        <v>1</v>
      </c>
      <c r="D227" s="2">
        <v>1</v>
      </c>
      <c r="E227" s="2">
        <v>1</v>
      </c>
      <c r="F227" s="2">
        <v>2</v>
      </c>
      <c r="G227" s="2">
        <v>1</v>
      </c>
      <c r="H227" s="2">
        <v>2</v>
      </c>
      <c r="I227" s="2">
        <v>1</v>
      </c>
      <c r="J227" s="2">
        <v>1</v>
      </c>
      <c r="K227" s="2">
        <v>2</v>
      </c>
      <c r="L227" s="2" t="b">
        <f t="shared" si="32"/>
        <v>0</v>
      </c>
    </row>
    <row r="228" spans="2:12">
      <c r="B228" s="2">
        <v>1</v>
      </c>
      <c r="C228" s="2">
        <v>1</v>
      </c>
      <c r="D228" s="2">
        <v>3</v>
      </c>
      <c r="E228" s="2">
        <v>1</v>
      </c>
      <c r="F228" s="2">
        <v>2</v>
      </c>
      <c r="G228" s="2">
        <v>1</v>
      </c>
      <c r="H228" s="2">
        <v>1</v>
      </c>
      <c r="I228" s="2">
        <v>1</v>
      </c>
      <c r="J228" s="2">
        <v>1</v>
      </c>
      <c r="K228" s="2">
        <v>2</v>
      </c>
      <c r="L228" s="2" t="b">
        <f t="shared" si="32"/>
        <v>0</v>
      </c>
    </row>
    <row r="229" spans="2:12">
      <c r="B229" s="2">
        <v>1</v>
      </c>
      <c r="C229" s="2">
        <v>1</v>
      </c>
      <c r="D229" s="2">
        <v>3</v>
      </c>
      <c r="E229" s="2">
        <v>1</v>
      </c>
      <c r="F229" s="2">
        <v>1</v>
      </c>
      <c r="G229" s="2">
        <v>1</v>
      </c>
      <c r="H229" s="2">
        <v>2</v>
      </c>
      <c r="I229" s="2">
        <v>1</v>
      </c>
      <c r="J229" s="2">
        <v>1</v>
      </c>
      <c r="K229" s="2">
        <v>2</v>
      </c>
      <c r="L229" s="2" t="b">
        <f t="shared" si="32"/>
        <v>0</v>
      </c>
    </row>
    <row r="230" spans="2:12">
      <c r="B230" s="2">
        <v>1</v>
      </c>
      <c r="C230" s="2">
        <v>1</v>
      </c>
      <c r="D230" s="2">
        <v>3</v>
      </c>
      <c r="E230" s="2">
        <v>1</v>
      </c>
      <c r="F230" s="2">
        <v>2</v>
      </c>
      <c r="G230" s="2">
        <v>1</v>
      </c>
      <c r="H230" s="2">
        <v>1</v>
      </c>
      <c r="I230" s="2">
        <v>1</v>
      </c>
      <c r="J230" s="2">
        <v>1</v>
      </c>
      <c r="K230" s="2">
        <v>2</v>
      </c>
      <c r="L230" s="2" t="b">
        <f t="shared" si="32"/>
        <v>0</v>
      </c>
    </row>
    <row r="231" spans="2:12">
      <c r="B231" s="2">
        <v>4</v>
      </c>
      <c r="C231" s="2">
        <v>1</v>
      </c>
      <c r="D231" s="2">
        <v>2</v>
      </c>
      <c r="E231" s="2">
        <v>1</v>
      </c>
      <c r="F231" s="2">
        <v>2</v>
      </c>
      <c r="G231" s="2">
        <v>1</v>
      </c>
      <c r="H231" s="2">
        <v>2</v>
      </c>
      <c r="I231" s="2">
        <v>1</v>
      </c>
      <c r="J231" s="2">
        <v>1</v>
      </c>
      <c r="K231" s="2">
        <v>2</v>
      </c>
      <c r="L231" s="2" t="b">
        <f t="shared" si="32"/>
        <v>0</v>
      </c>
    </row>
    <row r="232" spans="2:12">
      <c r="B232" s="2">
        <v>5</v>
      </c>
      <c r="C232" s="2">
        <v>1</v>
      </c>
      <c r="D232" s="2">
        <v>1</v>
      </c>
      <c r="E232" s="2">
        <v>2</v>
      </c>
      <c r="F232" s="2">
        <v>2</v>
      </c>
      <c r="G232" s="2">
        <v>1</v>
      </c>
      <c r="H232" s="2">
        <v>2</v>
      </c>
      <c r="I232" s="2">
        <v>1</v>
      </c>
      <c r="J232" s="2">
        <v>1</v>
      </c>
      <c r="K232" s="2">
        <v>2</v>
      </c>
      <c r="L232" s="2" t="b">
        <f t="shared" si="32"/>
        <v>0</v>
      </c>
    </row>
    <row r="233" spans="2:12">
      <c r="B233" s="2">
        <v>3</v>
      </c>
      <c r="C233" s="2">
        <v>1</v>
      </c>
      <c r="D233" s="2">
        <v>2</v>
      </c>
      <c r="E233" s="2">
        <v>1</v>
      </c>
      <c r="F233" s="2">
        <v>2</v>
      </c>
      <c r="G233" s="2">
        <v>1</v>
      </c>
      <c r="H233" s="2">
        <v>2</v>
      </c>
      <c r="I233" s="2">
        <v>1</v>
      </c>
      <c r="J233" s="2">
        <v>1</v>
      </c>
      <c r="K233" s="2">
        <v>2</v>
      </c>
      <c r="L233" s="2" t="b">
        <f t="shared" si="32"/>
        <v>0</v>
      </c>
    </row>
    <row r="234" spans="2:12">
      <c r="B234" s="2">
        <v>1</v>
      </c>
      <c r="C234" s="2">
        <v>1</v>
      </c>
      <c r="D234" s="2">
        <v>1</v>
      </c>
      <c r="E234" s="2">
        <v>1</v>
      </c>
      <c r="F234" s="2">
        <v>2</v>
      </c>
      <c r="G234" s="2">
        <v>1</v>
      </c>
      <c r="H234" s="2">
        <v>1</v>
      </c>
      <c r="I234" s="2">
        <v>1</v>
      </c>
      <c r="J234" s="2">
        <v>1</v>
      </c>
      <c r="K234" s="2">
        <v>2</v>
      </c>
      <c r="L234" s="2" t="b">
        <f t="shared" si="32"/>
        <v>0</v>
      </c>
    </row>
    <row r="235" spans="2:12">
      <c r="B235" s="2">
        <v>1</v>
      </c>
      <c r="C235" s="2">
        <v>1</v>
      </c>
      <c r="D235" s="2">
        <v>1</v>
      </c>
      <c r="E235" s="2">
        <v>1</v>
      </c>
      <c r="F235" s="2">
        <v>2</v>
      </c>
      <c r="G235" s="2">
        <v>1</v>
      </c>
      <c r="H235" s="2">
        <v>2</v>
      </c>
      <c r="I235" s="2">
        <v>1</v>
      </c>
      <c r="J235" s="2">
        <v>1</v>
      </c>
      <c r="K235" s="2">
        <v>2</v>
      </c>
      <c r="L235" s="2" t="b">
        <f t="shared" si="32"/>
        <v>0</v>
      </c>
    </row>
    <row r="236" spans="2:12">
      <c r="B236" s="2">
        <v>1</v>
      </c>
      <c r="C236" s="2">
        <v>1</v>
      </c>
      <c r="D236" s="2">
        <v>1</v>
      </c>
      <c r="E236" s="2">
        <v>1</v>
      </c>
      <c r="F236" s="2">
        <v>1</v>
      </c>
      <c r="G236" s="2">
        <v>1</v>
      </c>
      <c r="H236" s="2">
        <v>2</v>
      </c>
      <c r="I236" s="2">
        <v>1</v>
      </c>
      <c r="J236" s="2">
        <v>1</v>
      </c>
      <c r="K236" s="2">
        <v>2</v>
      </c>
      <c r="L236" s="2" t="b">
        <f t="shared" si="32"/>
        <v>0</v>
      </c>
    </row>
    <row r="237" spans="2:12">
      <c r="B237" s="2">
        <v>3</v>
      </c>
      <c r="C237" s="2">
        <v>1</v>
      </c>
      <c r="D237" s="2">
        <v>1</v>
      </c>
      <c r="E237" s="2">
        <v>4</v>
      </c>
      <c r="F237" s="2">
        <v>3</v>
      </c>
      <c r="G237" s="2">
        <v>1</v>
      </c>
      <c r="H237" s="2">
        <v>2</v>
      </c>
      <c r="I237" s="2">
        <v>2</v>
      </c>
      <c r="J237" s="2">
        <v>1</v>
      </c>
      <c r="K237" s="2">
        <v>2</v>
      </c>
      <c r="L237" s="2" t="b">
        <f t="shared" si="32"/>
        <v>0</v>
      </c>
    </row>
    <row r="238" spans="2:12">
      <c r="B238" s="2">
        <v>1</v>
      </c>
      <c r="C238" s="2">
        <v>1</v>
      </c>
      <c r="D238" s="2">
        <v>1</v>
      </c>
      <c r="E238" s="2">
        <v>1</v>
      </c>
      <c r="F238" s="2">
        <v>2</v>
      </c>
      <c r="G238" s="2">
        <v>1</v>
      </c>
      <c r="H238" s="2">
        <v>1</v>
      </c>
      <c r="I238" s="2">
        <v>1</v>
      </c>
      <c r="J238" s="2">
        <v>1</v>
      </c>
      <c r="K238" s="2">
        <v>2</v>
      </c>
      <c r="L238" s="2" t="b">
        <f t="shared" si="32"/>
        <v>0</v>
      </c>
    </row>
    <row r="239" spans="2:12">
      <c r="B239" s="2">
        <v>2</v>
      </c>
      <c r="C239" s="2">
        <v>1</v>
      </c>
      <c r="D239" s="2">
        <v>1</v>
      </c>
      <c r="E239" s="2">
        <v>1</v>
      </c>
      <c r="F239" s="2">
        <v>2</v>
      </c>
      <c r="G239" s="2">
        <v>1</v>
      </c>
      <c r="H239" s="2">
        <v>1</v>
      </c>
      <c r="I239" s="2">
        <v>1</v>
      </c>
      <c r="J239" s="2">
        <v>1</v>
      </c>
      <c r="K239" s="2">
        <v>2</v>
      </c>
      <c r="L239" s="2" t="b">
        <f t="shared" si="32"/>
        <v>0</v>
      </c>
    </row>
    <row r="240" spans="2:12">
      <c r="B240" s="2">
        <v>2</v>
      </c>
      <c r="C240" s="2">
        <v>1</v>
      </c>
      <c r="D240" s="2">
        <v>1</v>
      </c>
      <c r="E240" s="2">
        <v>1</v>
      </c>
      <c r="F240" s="2">
        <v>2</v>
      </c>
      <c r="G240" s="2">
        <v>1</v>
      </c>
      <c r="H240" s="2">
        <v>1</v>
      </c>
      <c r="I240" s="2">
        <v>1</v>
      </c>
      <c r="J240" s="2">
        <v>1</v>
      </c>
      <c r="K240" s="2">
        <v>2</v>
      </c>
      <c r="L240" s="2" t="b">
        <f t="shared" si="32"/>
        <v>0</v>
      </c>
    </row>
    <row r="241" spans="2:12">
      <c r="B241" s="2">
        <v>2</v>
      </c>
      <c r="C241" s="2">
        <v>1</v>
      </c>
      <c r="D241" s="2">
        <v>1</v>
      </c>
      <c r="E241" s="2">
        <v>1</v>
      </c>
      <c r="F241" s="2">
        <v>2</v>
      </c>
      <c r="G241" s="2">
        <v>1</v>
      </c>
      <c r="H241" s="2">
        <v>2</v>
      </c>
      <c r="I241" s="2">
        <v>2</v>
      </c>
      <c r="J241" s="2">
        <v>1</v>
      </c>
      <c r="K241" s="2">
        <v>2</v>
      </c>
      <c r="L241" s="2" t="b">
        <f t="shared" si="32"/>
        <v>0</v>
      </c>
    </row>
    <row r="242" spans="2:12">
      <c r="B242" s="2">
        <v>1</v>
      </c>
      <c r="C242" s="2">
        <v>1</v>
      </c>
      <c r="D242" s="2">
        <v>1</v>
      </c>
      <c r="E242" s="2">
        <v>2</v>
      </c>
      <c r="F242" s="2">
        <v>2</v>
      </c>
      <c r="G242" s="2">
        <v>1</v>
      </c>
      <c r="H242" s="2">
        <v>2</v>
      </c>
      <c r="I242" s="2">
        <v>1</v>
      </c>
      <c r="J242" s="2">
        <v>1</v>
      </c>
      <c r="K242" s="2">
        <v>2</v>
      </c>
      <c r="L242" s="2" t="b">
        <f t="shared" si="32"/>
        <v>0</v>
      </c>
    </row>
    <row r="243" spans="2:12">
      <c r="B243" s="2">
        <v>3</v>
      </c>
      <c r="C243" s="2">
        <v>1</v>
      </c>
      <c r="D243" s="2">
        <v>1</v>
      </c>
      <c r="E243" s="2">
        <v>1</v>
      </c>
      <c r="F243" s="2">
        <v>2</v>
      </c>
      <c r="G243" s="2">
        <v>1</v>
      </c>
      <c r="H243" s="2">
        <v>2</v>
      </c>
      <c r="I243" s="2">
        <v>1</v>
      </c>
      <c r="J243" s="2">
        <v>1</v>
      </c>
      <c r="K243" s="2">
        <v>2</v>
      </c>
      <c r="L243" s="2" t="b">
        <f t="shared" si="32"/>
        <v>0</v>
      </c>
    </row>
    <row r="244" spans="2:12">
      <c r="B244" s="2">
        <v>1</v>
      </c>
      <c r="C244" s="2">
        <v>1</v>
      </c>
      <c r="D244" s="2">
        <v>1</v>
      </c>
      <c r="E244" s="2">
        <v>1</v>
      </c>
      <c r="F244" s="2">
        <v>1</v>
      </c>
      <c r="G244" s="2">
        <v>1</v>
      </c>
      <c r="H244" s="2">
        <v>1</v>
      </c>
      <c r="I244" s="2">
        <v>1</v>
      </c>
      <c r="J244" s="2">
        <v>1</v>
      </c>
      <c r="K244" s="2">
        <v>2</v>
      </c>
      <c r="L244" s="2" t="b">
        <f t="shared" si="32"/>
        <v>0</v>
      </c>
    </row>
    <row r="245" spans="2:12">
      <c r="B245" s="2">
        <v>3</v>
      </c>
      <c r="C245" s="2">
        <v>1</v>
      </c>
      <c r="D245" s="2">
        <v>1</v>
      </c>
      <c r="E245" s="2">
        <v>1</v>
      </c>
      <c r="F245" s="2">
        <v>2</v>
      </c>
      <c r="G245" s="2">
        <v>1</v>
      </c>
      <c r="H245" s="2">
        <v>2</v>
      </c>
      <c r="I245" s="2">
        <v>1</v>
      </c>
      <c r="J245" s="2">
        <v>1</v>
      </c>
      <c r="K245" s="2">
        <v>2</v>
      </c>
      <c r="L245" s="2" t="b">
        <f t="shared" si="32"/>
        <v>0</v>
      </c>
    </row>
    <row r="246" spans="2:12">
      <c r="B246" s="2">
        <v>3</v>
      </c>
      <c r="C246" s="2">
        <v>1</v>
      </c>
      <c r="D246" s="2">
        <v>1</v>
      </c>
      <c r="E246" s="2">
        <v>1</v>
      </c>
      <c r="F246" s="2">
        <v>2</v>
      </c>
      <c r="G246" s="2">
        <v>1</v>
      </c>
      <c r="H246" s="2">
        <v>3</v>
      </c>
      <c r="I246" s="2">
        <v>1</v>
      </c>
      <c r="J246" s="2">
        <v>1</v>
      </c>
      <c r="K246" s="2">
        <v>2</v>
      </c>
      <c r="L246" s="2" t="b">
        <f t="shared" si="32"/>
        <v>0</v>
      </c>
    </row>
    <row r="247" spans="2:12">
      <c r="B247" s="2">
        <v>4</v>
      </c>
      <c r="C247" s="2">
        <v>1</v>
      </c>
      <c r="D247" s="2">
        <v>1</v>
      </c>
      <c r="E247" s="2">
        <v>1</v>
      </c>
      <c r="F247" s="2">
        <v>2</v>
      </c>
      <c r="G247" s="2">
        <v>1</v>
      </c>
      <c r="H247" s="2">
        <v>1</v>
      </c>
      <c r="I247" s="2">
        <v>1</v>
      </c>
      <c r="J247" s="2">
        <v>1</v>
      </c>
      <c r="K247" s="2">
        <v>2</v>
      </c>
      <c r="L247" s="2" t="b">
        <f t="shared" si="32"/>
        <v>0</v>
      </c>
    </row>
    <row r="248" spans="2:12">
      <c r="B248" s="2">
        <v>3</v>
      </c>
      <c r="C248" s="2">
        <v>1</v>
      </c>
      <c r="D248" s="2">
        <v>1</v>
      </c>
      <c r="E248" s="2">
        <v>1</v>
      </c>
      <c r="F248" s="2">
        <v>2</v>
      </c>
      <c r="G248" s="2">
        <v>1</v>
      </c>
      <c r="H248" s="2">
        <v>1</v>
      </c>
      <c r="I248" s="2">
        <v>1</v>
      </c>
      <c r="J248" s="2">
        <v>1</v>
      </c>
      <c r="K248" s="2">
        <v>2</v>
      </c>
      <c r="L248" s="2" t="b">
        <f t="shared" si="32"/>
        <v>0</v>
      </c>
    </row>
    <row r="249" spans="2:12">
      <c r="B249" s="2">
        <v>1</v>
      </c>
      <c r="C249" s="2">
        <v>1</v>
      </c>
      <c r="D249" s="2">
        <v>1</v>
      </c>
      <c r="E249" s="2">
        <v>1</v>
      </c>
      <c r="F249" s="2">
        <v>2</v>
      </c>
      <c r="G249" s="2">
        <v>1</v>
      </c>
      <c r="H249" s="2">
        <v>2</v>
      </c>
      <c r="I249" s="2">
        <v>1</v>
      </c>
      <c r="J249" s="2">
        <v>1</v>
      </c>
      <c r="K249" s="2">
        <v>2</v>
      </c>
      <c r="L249" s="2" t="b">
        <f t="shared" si="32"/>
        <v>0</v>
      </c>
    </row>
    <row r="250" spans="2:12">
      <c r="B250" s="2">
        <v>1</v>
      </c>
      <c r="C250" s="2">
        <v>1</v>
      </c>
      <c r="D250" s="2">
        <v>1</v>
      </c>
      <c r="E250" s="2">
        <v>1</v>
      </c>
      <c r="F250" s="2">
        <v>2</v>
      </c>
      <c r="G250" s="2">
        <v>1</v>
      </c>
      <c r="H250" s="2">
        <v>2</v>
      </c>
      <c r="I250" s="2">
        <v>1</v>
      </c>
      <c r="J250" s="2">
        <v>1</v>
      </c>
      <c r="K250" s="2">
        <v>2</v>
      </c>
      <c r="L250" s="2" t="b">
        <f t="shared" si="32"/>
        <v>0</v>
      </c>
    </row>
    <row r="251" spans="2:12">
      <c r="B251" s="2">
        <v>3</v>
      </c>
      <c r="C251" s="2">
        <v>1</v>
      </c>
      <c r="D251" s="2">
        <v>2</v>
      </c>
      <c r="E251" s="2">
        <v>1</v>
      </c>
      <c r="F251" s="2">
        <v>2</v>
      </c>
      <c r="G251" s="2">
        <v>1</v>
      </c>
      <c r="H251" s="2">
        <v>2</v>
      </c>
      <c r="I251" s="2">
        <v>1</v>
      </c>
      <c r="J251" s="2">
        <v>1</v>
      </c>
      <c r="K251" s="2">
        <v>2</v>
      </c>
      <c r="L251" s="2" t="b">
        <f t="shared" si="32"/>
        <v>0</v>
      </c>
    </row>
    <row r="252" spans="2:12">
      <c r="B252" s="2">
        <v>1</v>
      </c>
      <c r="C252" s="2">
        <v>1</v>
      </c>
      <c r="D252" s="2">
        <v>1</v>
      </c>
      <c r="E252" s="2">
        <v>1</v>
      </c>
      <c r="F252" s="2">
        <v>2</v>
      </c>
      <c r="G252" s="2">
        <v>1</v>
      </c>
      <c r="H252" s="2">
        <v>2</v>
      </c>
      <c r="I252" s="2">
        <v>1</v>
      </c>
      <c r="J252" s="2">
        <v>1</v>
      </c>
      <c r="K252" s="2">
        <v>2</v>
      </c>
      <c r="L252" s="2" t="b">
        <f t="shared" si="32"/>
        <v>0</v>
      </c>
    </row>
    <row r="253" spans="2:12">
      <c r="B253" s="2">
        <v>5</v>
      </c>
      <c r="C253" s="2">
        <v>1</v>
      </c>
      <c r="D253" s="2">
        <v>2</v>
      </c>
      <c r="E253" s="2">
        <v>1</v>
      </c>
      <c r="F253" s="2">
        <v>2</v>
      </c>
      <c r="G253" s="2">
        <v>1</v>
      </c>
      <c r="H253" s="2">
        <v>3</v>
      </c>
      <c r="I253" s="2">
        <v>1</v>
      </c>
      <c r="J253" s="2">
        <v>1</v>
      </c>
      <c r="K253" s="2">
        <v>2</v>
      </c>
      <c r="L253" s="2" t="b">
        <f t="shared" si="32"/>
        <v>0</v>
      </c>
    </row>
    <row r="254" spans="2:12">
      <c r="B254" s="2">
        <v>1</v>
      </c>
      <c r="C254" s="2">
        <v>1</v>
      </c>
      <c r="D254" s="2">
        <v>1</v>
      </c>
      <c r="E254" s="2">
        <v>1</v>
      </c>
      <c r="F254" s="2">
        <v>2</v>
      </c>
      <c r="G254" s="2">
        <v>1</v>
      </c>
      <c r="H254" s="2">
        <v>2</v>
      </c>
      <c r="I254" s="2">
        <v>1</v>
      </c>
      <c r="J254" s="2">
        <v>1</v>
      </c>
      <c r="K254" s="2">
        <v>2</v>
      </c>
      <c r="L254" s="2" t="b">
        <f t="shared" si="32"/>
        <v>0</v>
      </c>
    </row>
    <row r="255" spans="2:12">
      <c r="B255" s="2">
        <v>5</v>
      </c>
      <c r="C255" s="2">
        <v>1</v>
      </c>
      <c r="D255" s="2">
        <v>3</v>
      </c>
      <c r="E255" s="2">
        <v>1</v>
      </c>
      <c r="F255" s="2">
        <v>2</v>
      </c>
      <c r="G255" s="2">
        <v>1</v>
      </c>
      <c r="H255" s="2">
        <v>2</v>
      </c>
      <c r="I255" s="2">
        <v>1</v>
      </c>
      <c r="J255" s="2">
        <v>1</v>
      </c>
      <c r="K255" s="2">
        <v>2</v>
      </c>
      <c r="L255" s="2" t="b">
        <f t="shared" si="32"/>
        <v>0</v>
      </c>
    </row>
    <row r="256" spans="2:12">
      <c r="B256" s="2">
        <v>3</v>
      </c>
      <c r="C256" s="2">
        <v>1</v>
      </c>
      <c r="D256" s="2">
        <v>1</v>
      </c>
      <c r="E256" s="2">
        <v>1</v>
      </c>
      <c r="F256" s="2">
        <v>2</v>
      </c>
      <c r="G256" s="2">
        <v>1</v>
      </c>
      <c r="H256" s="2">
        <v>1</v>
      </c>
      <c r="I256" s="2">
        <v>1</v>
      </c>
      <c r="J256" s="2">
        <v>1</v>
      </c>
      <c r="K256" s="2">
        <v>2</v>
      </c>
      <c r="L256" s="2" t="b">
        <f t="shared" si="32"/>
        <v>0</v>
      </c>
    </row>
    <row r="257" spans="2:12">
      <c r="B257" s="2">
        <v>1</v>
      </c>
      <c r="C257" s="2">
        <v>1</v>
      </c>
      <c r="D257" s="2">
        <v>1</v>
      </c>
      <c r="E257" s="2">
        <v>1</v>
      </c>
      <c r="F257" s="2">
        <v>2</v>
      </c>
      <c r="G257" s="2">
        <v>1</v>
      </c>
      <c r="H257" s="2">
        <v>2</v>
      </c>
      <c r="I257" s="2">
        <v>1</v>
      </c>
      <c r="J257" s="2">
        <v>1</v>
      </c>
      <c r="K257" s="2">
        <v>2</v>
      </c>
      <c r="L257" s="2" t="b">
        <f t="shared" si="32"/>
        <v>0</v>
      </c>
    </row>
    <row r="258" spans="2:12">
      <c r="B258" s="2">
        <v>2</v>
      </c>
      <c r="C258" s="2">
        <v>1</v>
      </c>
      <c r="D258" s="2">
        <v>1</v>
      </c>
      <c r="E258" s="2">
        <v>1</v>
      </c>
      <c r="F258" s="2">
        <v>2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 t="b">
        <f t="shared" si="32"/>
        <v>0</v>
      </c>
    </row>
    <row r="259" spans="2:12">
      <c r="B259" s="2">
        <v>5</v>
      </c>
      <c r="C259" s="2">
        <v>1</v>
      </c>
      <c r="D259" s="2">
        <v>1</v>
      </c>
      <c r="E259" s="2">
        <v>3</v>
      </c>
      <c r="F259" s="2">
        <v>4</v>
      </c>
      <c r="G259" s="2">
        <v>1</v>
      </c>
      <c r="H259" s="2">
        <v>3</v>
      </c>
      <c r="I259" s="2">
        <v>2</v>
      </c>
      <c r="J259" s="2">
        <v>1</v>
      </c>
      <c r="K259" s="2">
        <v>2</v>
      </c>
      <c r="L259" s="2" t="b">
        <f t="shared" si="32"/>
        <v>0</v>
      </c>
    </row>
    <row r="260" spans="2:12">
      <c r="B260" s="2">
        <v>5</v>
      </c>
      <c r="C260" s="2">
        <v>1</v>
      </c>
      <c r="D260" s="2">
        <v>1</v>
      </c>
      <c r="E260" s="2">
        <v>1</v>
      </c>
      <c r="F260" s="2">
        <v>2</v>
      </c>
      <c r="G260" s="2">
        <v>1</v>
      </c>
      <c r="H260" s="2">
        <v>2</v>
      </c>
      <c r="I260" s="2">
        <v>2</v>
      </c>
      <c r="J260" s="2">
        <v>1</v>
      </c>
      <c r="K260" s="2">
        <v>2</v>
      </c>
      <c r="L260" s="2" t="b">
        <f t="shared" si="32"/>
        <v>0</v>
      </c>
    </row>
    <row r="261" spans="2:12">
      <c r="B261" s="2">
        <v>4</v>
      </c>
      <c r="C261" s="2">
        <v>1</v>
      </c>
      <c r="D261" s="2">
        <v>1</v>
      </c>
      <c r="E261" s="2">
        <v>1</v>
      </c>
      <c r="F261" s="2">
        <v>2</v>
      </c>
      <c r="G261" s="2">
        <v>1</v>
      </c>
      <c r="H261" s="2">
        <v>1</v>
      </c>
      <c r="I261" s="2">
        <v>1</v>
      </c>
      <c r="J261" s="2">
        <v>1</v>
      </c>
      <c r="K261" s="2">
        <v>2</v>
      </c>
      <c r="L261" s="2" t="b">
        <f t="shared" si="32"/>
        <v>0</v>
      </c>
    </row>
    <row r="262" spans="2:12">
      <c r="B262" s="2">
        <v>4</v>
      </c>
      <c r="C262" s="2">
        <v>1</v>
      </c>
      <c r="D262" s="2">
        <v>3</v>
      </c>
      <c r="E262" s="2">
        <v>3</v>
      </c>
      <c r="F262" s="2">
        <v>2</v>
      </c>
      <c r="G262" s="2">
        <v>1</v>
      </c>
      <c r="H262" s="2">
        <v>1</v>
      </c>
      <c r="I262" s="2">
        <v>1</v>
      </c>
      <c r="J262" s="2">
        <v>1</v>
      </c>
      <c r="K262" s="2">
        <v>2</v>
      </c>
      <c r="L262" s="2" t="b">
        <f t="shared" si="32"/>
        <v>0</v>
      </c>
    </row>
    <row r="263" spans="2:12">
      <c r="B263" s="2">
        <v>5</v>
      </c>
      <c r="C263" s="2">
        <v>1</v>
      </c>
      <c r="D263" s="2">
        <v>1</v>
      </c>
      <c r="E263" s="2">
        <v>1</v>
      </c>
      <c r="F263" s="2">
        <v>2</v>
      </c>
      <c r="G263" s="2">
        <v>1</v>
      </c>
      <c r="H263" s="2">
        <v>1</v>
      </c>
      <c r="I263" s="2">
        <v>1</v>
      </c>
      <c r="J263" s="2">
        <v>1</v>
      </c>
      <c r="K263" s="2">
        <v>2</v>
      </c>
      <c r="L263" s="2" t="b">
        <f t="shared" si="32"/>
        <v>0</v>
      </c>
    </row>
    <row r="264" spans="2:12">
      <c r="B264" s="2">
        <v>5</v>
      </c>
      <c r="C264" s="2">
        <v>1</v>
      </c>
      <c r="D264" s="2">
        <v>1</v>
      </c>
      <c r="E264" s="2">
        <v>6</v>
      </c>
      <c r="F264" s="2">
        <v>3</v>
      </c>
      <c r="G264" s="2">
        <v>1</v>
      </c>
      <c r="H264" s="2">
        <v>2</v>
      </c>
      <c r="I264" s="2">
        <v>1</v>
      </c>
      <c r="J264" s="2">
        <v>1</v>
      </c>
      <c r="K264" s="2">
        <v>2</v>
      </c>
      <c r="L264" s="2" t="b">
        <f t="shared" si="32"/>
        <v>0</v>
      </c>
    </row>
    <row r="265" spans="2:12">
      <c r="B265" s="2">
        <v>2</v>
      </c>
      <c r="C265" s="2">
        <v>1</v>
      </c>
      <c r="D265" s="2">
        <v>1</v>
      </c>
      <c r="E265" s="2">
        <v>1</v>
      </c>
      <c r="F265" s="2">
        <v>2</v>
      </c>
      <c r="G265" s="2">
        <v>1</v>
      </c>
      <c r="H265" s="2">
        <v>1</v>
      </c>
      <c r="I265" s="2">
        <v>1</v>
      </c>
      <c r="J265" s="2">
        <v>1</v>
      </c>
      <c r="K265" s="2">
        <v>2</v>
      </c>
      <c r="L265" s="2" t="b">
        <f t="shared" si="32"/>
        <v>0</v>
      </c>
    </row>
    <row r="266" spans="2:12">
      <c r="B266" s="2">
        <v>1</v>
      </c>
      <c r="C266" s="2">
        <v>1</v>
      </c>
      <c r="D266" s="2">
        <v>1</v>
      </c>
      <c r="E266" s="2">
        <v>1</v>
      </c>
      <c r="F266" s="2">
        <v>2</v>
      </c>
      <c r="G266" s="2">
        <v>1</v>
      </c>
      <c r="H266" s="2">
        <v>1</v>
      </c>
      <c r="I266" s="2">
        <v>1</v>
      </c>
      <c r="J266" s="2">
        <v>1</v>
      </c>
      <c r="K266" s="2">
        <v>2</v>
      </c>
      <c r="L266" s="2" t="b">
        <f t="shared" si="32"/>
        <v>0</v>
      </c>
    </row>
    <row r="267" spans="2:12">
      <c r="B267" s="2">
        <v>5</v>
      </c>
      <c r="C267" s="2">
        <v>1</v>
      </c>
      <c r="D267" s="2">
        <v>1</v>
      </c>
      <c r="E267" s="2">
        <v>1</v>
      </c>
      <c r="F267" s="2">
        <v>2</v>
      </c>
      <c r="G267" s="2">
        <v>1</v>
      </c>
      <c r="H267" s="2">
        <v>1</v>
      </c>
      <c r="I267" s="2">
        <v>1</v>
      </c>
      <c r="J267" s="2">
        <v>1</v>
      </c>
      <c r="K267" s="2">
        <v>2</v>
      </c>
      <c r="L267" s="2" t="b">
        <f t="shared" si="32"/>
        <v>0</v>
      </c>
    </row>
    <row r="268" spans="2:12">
      <c r="B268" s="2">
        <v>1</v>
      </c>
      <c r="C268" s="2">
        <v>1</v>
      </c>
      <c r="D268" s="2">
        <v>1</v>
      </c>
      <c r="E268" s="2">
        <v>1</v>
      </c>
      <c r="F268" s="2">
        <v>1</v>
      </c>
      <c r="G268" s="2">
        <v>1</v>
      </c>
      <c r="H268" s="2">
        <v>1</v>
      </c>
      <c r="I268" s="2">
        <v>1</v>
      </c>
      <c r="J268" s="2">
        <v>1</v>
      </c>
      <c r="K268" s="2">
        <v>2</v>
      </c>
      <c r="L268" s="2" t="b">
        <f t="shared" si="32"/>
        <v>0</v>
      </c>
    </row>
    <row r="269" spans="2:12">
      <c r="B269" s="2">
        <v>4</v>
      </c>
      <c r="C269" s="2">
        <v>1</v>
      </c>
      <c r="D269" s="2">
        <v>1</v>
      </c>
      <c r="E269" s="2">
        <v>3</v>
      </c>
      <c r="F269" s="2">
        <v>1</v>
      </c>
      <c r="G269" s="2">
        <v>1</v>
      </c>
      <c r="H269" s="2">
        <v>2</v>
      </c>
      <c r="I269" s="2">
        <v>1</v>
      </c>
      <c r="J269" s="2">
        <v>1</v>
      </c>
      <c r="K269" s="2">
        <v>2</v>
      </c>
      <c r="L269" s="2" t="b">
        <f t="shared" si="32"/>
        <v>0</v>
      </c>
    </row>
    <row r="270" spans="2:12">
      <c r="B270" s="2">
        <v>5</v>
      </c>
      <c r="C270" s="2">
        <v>1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1</v>
      </c>
      <c r="J270" s="2">
        <v>1</v>
      </c>
      <c r="K270" s="2">
        <v>2</v>
      </c>
      <c r="L270" s="2" t="b">
        <f t="shared" si="32"/>
        <v>0</v>
      </c>
    </row>
    <row r="271" spans="2:12">
      <c r="B271" s="2">
        <v>3</v>
      </c>
      <c r="C271" s="2">
        <v>1</v>
      </c>
      <c r="D271" s="2">
        <v>1</v>
      </c>
      <c r="E271" s="2">
        <v>3</v>
      </c>
      <c r="F271" s="2">
        <v>2</v>
      </c>
      <c r="G271" s="2">
        <v>1</v>
      </c>
      <c r="H271" s="2">
        <v>1</v>
      </c>
      <c r="I271" s="2">
        <v>1</v>
      </c>
      <c r="J271" s="2">
        <v>1</v>
      </c>
      <c r="K271" s="2">
        <v>2</v>
      </c>
      <c r="L271" s="2" t="b">
        <f t="shared" si="32"/>
        <v>0</v>
      </c>
    </row>
    <row r="272" spans="2:12">
      <c r="B272" s="2">
        <v>5</v>
      </c>
      <c r="C272" s="2">
        <v>1</v>
      </c>
      <c r="D272" s="2">
        <v>2</v>
      </c>
      <c r="E272" s="2">
        <v>1</v>
      </c>
      <c r="F272" s="2">
        <v>2</v>
      </c>
      <c r="G272" s="2">
        <v>1</v>
      </c>
      <c r="H272" s="2">
        <v>1</v>
      </c>
      <c r="I272" s="2">
        <v>1</v>
      </c>
      <c r="J272" s="2">
        <v>1</v>
      </c>
      <c r="K272" s="2">
        <v>2</v>
      </c>
      <c r="L272" s="2" t="b">
        <f t="shared" si="32"/>
        <v>0</v>
      </c>
    </row>
    <row r="273" spans="2:12">
      <c r="B273" s="2">
        <v>5</v>
      </c>
      <c r="C273" s="2">
        <v>1</v>
      </c>
      <c r="D273" s="2">
        <v>3</v>
      </c>
      <c r="E273" s="2">
        <v>1</v>
      </c>
      <c r="F273" s="2">
        <v>2</v>
      </c>
      <c r="G273" s="2">
        <v>1</v>
      </c>
      <c r="H273" s="2">
        <v>1</v>
      </c>
      <c r="I273" s="2">
        <v>1</v>
      </c>
      <c r="J273" s="2">
        <v>1</v>
      </c>
      <c r="K273" s="2">
        <v>2</v>
      </c>
      <c r="L273" s="2" t="b">
        <f t="shared" si="32"/>
        <v>0</v>
      </c>
    </row>
    <row r="274" spans="2:12">
      <c r="B274" s="2">
        <v>5</v>
      </c>
      <c r="C274" s="2">
        <v>1</v>
      </c>
      <c r="D274" s="2">
        <v>1</v>
      </c>
      <c r="E274" s="2">
        <v>3</v>
      </c>
      <c r="F274" s="2">
        <v>2</v>
      </c>
      <c r="G274" s="2">
        <v>1</v>
      </c>
      <c r="H274" s="2">
        <v>1</v>
      </c>
      <c r="I274" s="2">
        <v>1</v>
      </c>
      <c r="J274" s="2">
        <v>1</v>
      </c>
      <c r="K274" s="2">
        <v>2</v>
      </c>
      <c r="L274" s="2" t="b">
        <f t="shared" si="32"/>
        <v>0</v>
      </c>
    </row>
    <row r="275" spans="2:12">
      <c r="B275" s="2">
        <v>6</v>
      </c>
      <c r="C275" s="2">
        <v>1</v>
      </c>
      <c r="D275" s="2">
        <v>1</v>
      </c>
      <c r="E275" s="2">
        <v>3</v>
      </c>
      <c r="F275" s="2">
        <v>2</v>
      </c>
      <c r="G275" s="2">
        <v>1</v>
      </c>
      <c r="H275" s="2">
        <v>1</v>
      </c>
      <c r="I275" s="2">
        <v>1</v>
      </c>
      <c r="J275" s="2">
        <v>1</v>
      </c>
      <c r="K275" s="2">
        <v>2</v>
      </c>
      <c r="L275" s="2" t="b">
        <f t="shared" si="32"/>
        <v>0</v>
      </c>
    </row>
    <row r="276" spans="2:12">
      <c r="B276" s="2">
        <v>4</v>
      </c>
      <c r="C276" s="2">
        <v>1</v>
      </c>
      <c r="D276" s="2">
        <v>1</v>
      </c>
      <c r="E276" s="2">
        <v>1</v>
      </c>
      <c r="F276" s="2">
        <v>2</v>
      </c>
      <c r="G276" s="2">
        <v>1</v>
      </c>
      <c r="H276" s="2">
        <v>1</v>
      </c>
      <c r="I276" s="2">
        <v>2</v>
      </c>
      <c r="J276" s="2">
        <v>1</v>
      </c>
      <c r="K276" s="2">
        <v>2</v>
      </c>
      <c r="L276" s="2" t="b">
        <f t="shared" si="32"/>
        <v>0</v>
      </c>
    </row>
    <row r="277" spans="2:12">
      <c r="B277" s="2">
        <v>4</v>
      </c>
      <c r="C277" s="2">
        <v>1</v>
      </c>
      <c r="D277" s="2">
        <v>1</v>
      </c>
      <c r="E277" s="2">
        <v>1</v>
      </c>
      <c r="F277" s="2">
        <v>2</v>
      </c>
      <c r="G277" s="2">
        <v>1</v>
      </c>
      <c r="H277" s="2">
        <v>1</v>
      </c>
      <c r="I277" s="2">
        <v>1</v>
      </c>
      <c r="J277" s="2">
        <v>1</v>
      </c>
      <c r="K277" s="2">
        <v>2</v>
      </c>
      <c r="L277" s="2" t="b">
        <f t="shared" si="32"/>
        <v>0</v>
      </c>
    </row>
    <row r="278" spans="2:12">
      <c r="B278" s="2">
        <v>4</v>
      </c>
      <c r="C278" s="2">
        <v>1</v>
      </c>
      <c r="D278" s="2">
        <v>1</v>
      </c>
      <c r="E278" s="2">
        <v>1</v>
      </c>
      <c r="F278" s="2">
        <v>2</v>
      </c>
      <c r="G278" s="2">
        <v>1</v>
      </c>
      <c r="H278" s="2">
        <v>1</v>
      </c>
      <c r="I278" s="2">
        <v>1</v>
      </c>
      <c r="J278" s="2">
        <v>1</v>
      </c>
      <c r="K278" s="2">
        <v>2</v>
      </c>
      <c r="L278" s="2" t="b">
        <f t="shared" si="32"/>
        <v>0</v>
      </c>
    </row>
    <row r="279" spans="2:12">
      <c r="B279" s="2">
        <v>1</v>
      </c>
      <c r="C279" s="2">
        <v>1</v>
      </c>
      <c r="D279" s="2">
        <v>2</v>
      </c>
      <c r="E279" s="2">
        <v>1</v>
      </c>
      <c r="F279" s="2">
        <v>2</v>
      </c>
      <c r="G279" s="2">
        <v>1</v>
      </c>
      <c r="H279" s="2">
        <v>2</v>
      </c>
      <c r="I279" s="2">
        <v>1</v>
      </c>
      <c r="J279" s="2">
        <v>1</v>
      </c>
      <c r="K279" s="2">
        <v>2</v>
      </c>
      <c r="L279" s="2" t="b">
        <f t="shared" si="32"/>
        <v>0</v>
      </c>
    </row>
    <row r="280" spans="2:12">
      <c r="B280" s="2">
        <v>3</v>
      </c>
      <c r="C280" s="2">
        <v>1</v>
      </c>
      <c r="D280" s="2">
        <v>1</v>
      </c>
      <c r="E280" s="2">
        <v>1</v>
      </c>
      <c r="F280" s="2">
        <v>1</v>
      </c>
      <c r="G280" s="2">
        <v>1</v>
      </c>
      <c r="H280" s="2">
        <v>2</v>
      </c>
      <c r="I280" s="2">
        <v>1</v>
      </c>
      <c r="J280" s="2">
        <v>1</v>
      </c>
      <c r="K280" s="2">
        <v>2</v>
      </c>
      <c r="L280" s="2" t="b">
        <f t="shared" si="32"/>
        <v>0</v>
      </c>
    </row>
    <row r="281" spans="2:12">
      <c r="B281" s="2">
        <v>6</v>
      </c>
      <c r="C281" s="2">
        <v>1</v>
      </c>
      <c r="D281" s="2">
        <v>1</v>
      </c>
      <c r="E281" s="2">
        <v>3</v>
      </c>
      <c r="F281" s="2">
        <v>2</v>
      </c>
      <c r="G281" s="2">
        <v>1</v>
      </c>
      <c r="H281" s="2">
        <v>1</v>
      </c>
      <c r="I281" s="2">
        <v>1</v>
      </c>
      <c r="J281" s="2">
        <v>1</v>
      </c>
      <c r="K281" s="2">
        <v>2</v>
      </c>
      <c r="L281" s="2" t="b">
        <f t="shared" si="32"/>
        <v>0</v>
      </c>
    </row>
    <row r="282" spans="2:12">
      <c r="B282" s="2">
        <v>6</v>
      </c>
      <c r="C282" s="2">
        <v>1</v>
      </c>
      <c r="D282" s="2">
        <v>1</v>
      </c>
      <c r="E282" s="2">
        <v>1</v>
      </c>
      <c r="F282" s="2">
        <v>1</v>
      </c>
      <c r="G282" s="2">
        <v>1</v>
      </c>
      <c r="H282" s="2">
        <v>1</v>
      </c>
      <c r="I282" s="2">
        <v>1</v>
      </c>
      <c r="J282" s="2">
        <v>1</v>
      </c>
      <c r="K282" s="2">
        <v>2</v>
      </c>
      <c r="L282" s="2" t="b">
        <f t="shared" ref="L282:L345" si="33">IF(K282=4, TRUE, FALSE)</f>
        <v>0</v>
      </c>
    </row>
    <row r="283" spans="2:12">
      <c r="B283" s="2">
        <v>4</v>
      </c>
      <c r="C283" s="2">
        <v>1</v>
      </c>
      <c r="D283" s="2">
        <v>1</v>
      </c>
      <c r="E283" s="2">
        <v>1</v>
      </c>
      <c r="F283" s="2">
        <v>2</v>
      </c>
      <c r="G283" s="2">
        <v>1</v>
      </c>
      <c r="H283" s="2">
        <v>1</v>
      </c>
      <c r="I283" s="2">
        <v>1</v>
      </c>
      <c r="J283" s="2">
        <v>1</v>
      </c>
      <c r="K283" s="2">
        <v>2</v>
      </c>
      <c r="L283" s="2" t="b">
        <f t="shared" si="33"/>
        <v>0</v>
      </c>
    </row>
    <row r="284" spans="2:12">
      <c r="B284" s="2">
        <v>5</v>
      </c>
      <c r="C284" s="2">
        <v>1</v>
      </c>
      <c r="D284" s="2">
        <v>1</v>
      </c>
      <c r="E284" s="2">
        <v>1</v>
      </c>
      <c r="F284" s="2">
        <v>2</v>
      </c>
      <c r="G284" s="2">
        <v>1</v>
      </c>
      <c r="H284" s="2">
        <v>1</v>
      </c>
      <c r="I284" s="2">
        <v>1</v>
      </c>
      <c r="J284" s="2">
        <v>1</v>
      </c>
      <c r="K284" s="2">
        <v>2</v>
      </c>
      <c r="L284" s="2" t="b">
        <f t="shared" si="33"/>
        <v>0</v>
      </c>
    </row>
    <row r="285" spans="2:12">
      <c r="B285" s="2">
        <v>3</v>
      </c>
      <c r="C285" s="2">
        <v>1</v>
      </c>
      <c r="D285" s="2">
        <v>1</v>
      </c>
      <c r="E285" s="2">
        <v>1</v>
      </c>
      <c r="F285" s="2">
        <v>2</v>
      </c>
      <c r="G285" s="2">
        <v>1</v>
      </c>
      <c r="H285" s="2">
        <v>1</v>
      </c>
      <c r="I285" s="2">
        <v>1</v>
      </c>
      <c r="J285" s="2">
        <v>1</v>
      </c>
      <c r="K285" s="2">
        <v>2</v>
      </c>
      <c r="L285" s="2" t="b">
        <f t="shared" si="33"/>
        <v>0</v>
      </c>
    </row>
    <row r="286" spans="2:12">
      <c r="B286" s="2">
        <v>4</v>
      </c>
      <c r="C286" s="2">
        <v>1</v>
      </c>
      <c r="D286" s="2">
        <v>2</v>
      </c>
      <c r="E286" s="2">
        <v>1</v>
      </c>
      <c r="F286" s="2">
        <v>2</v>
      </c>
      <c r="G286" s="2">
        <v>1</v>
      </c>
      <c r="H286" s="2">
        <v>1</v>
      </c>
      <c r="I286" s="2">
        <v>1</v>
      </c>
      <c r="J286" s="2">
        <v>1</v>
      </c>
      <c r="K286" s="2">
        <v>2</v>
      </c>
      <c r="L286" s="2" t="b">
        <f t="shared" si="33"/>
        <v>0</v>
      </c>
    </row>
    <row r="287" spans="2:12">
      <c r="B287" s="2">
        <v>4</v>
      </c>
      <c r="C287" s="2">
        <v>1</v>
      </c>
      <c r="D287" s="2">
        <v>1</v>
      </c>
      <c r="E287" s="2">
        <v>1</v>
      </c>
      <c r="F287" s="2">
        <v>2</v>
      </c>
      <c r="G287" s="2">
        <v>1</v>
      </c>
      <c r="H287" s="2">
        <v>1</v>
      </c>
      <c r="I287" s="2">
        <v>1</v>
      </c>
      <c r="J287" s="2">
        <v>1</v>
      </c>
      <c r="K287" s="2">
        <v>2</v>
      </c>
      <c r="L287" s="2" t="b">
        <f t="shared" si="33"/>
        <v>0</v>
      </c>
    </row>
    <row r="288" spans="2:12">
      <c r="B288" s="2">
        <v>5</v>
      </c>
      <c r="C288" s="2">
        <v>1</v>
      </c>
      <c r="D288" s="2">
        <v>1</v>
      </c>
      <c r="E288" s="2">
        <v>1</v>
      </c>
      <c r="F288" s="2">
        <v>1</v>
      </c>
      <c r="G288" s="2">
        <v>1</v>
      </c>
      <c r="H288" s="2">
        <v>1</v>
      </c>
      <c r="I288" s="2">
        <v>1</v>
      </c>
      <c r="J288" s="2">
        <v>1</v>
      </c>
      <c r="K288" s="2">
        <v>2</v>
      </c>
      <c r="L288" s="2" t="b">
        <f t="shared" si="33"/>
        <v>0</v>
      </c>
    </row>
    <row r="289" spans="2:12">
      <c r="B289" s="2">
        <v>5</v>
      </c>
      <c r="C289" s="2">
        <v>1</v>
      </c>
      <c r="D289" s="2">
        <v>2</v>
      </c>
      <c r="E289" s="2">
        <v>1</v>
      </c>
      <c r="F289" s="2">
        <v>2</v>
      </c>
      <c r="G289" s="2">
        <v>1</v>
      </c>
      <c r="H289" s="2">
        <v>1</v>
      </c>
      <c r="I289" s="2">
        <v>1</v>
      </c>
      <c r="J289" s="2">
        <v>1</v>
      </c>
      <c r="K289" s="2">
        <v>2</v>
      </c>
      <c r="L289" s="2" t="b">
        <f t="shared" si="33"/>
        <v>0</v>
      </c>
    </row>
    <row r="290" spans="2:12">
      <c r="B290" s="2">
        <v>3</v>
      </c>
      <c r="C290" s="2">
        <v>1</v>
      </c>
      <c r="D290" s="2">
        <v>1</v>
      </c>
      <c r="E290" s="2">
        <v>1</v>
      </c>
      <c r="F290" s="2">
        <v>1</v>
      </c>
      <c r="G290" s="2">
        <v>1</v>
      </c>
      <c r="H290" s="2">
        <v>2</v>
      </c>
      <c r="I290" s="2">
        <v>1</v>
      </c>
      <c r="J290" s="2">
        <v>1</v>
      </c>
      <c r="K290" s="2">
        <v>2</v>
      </c>
      <c r="L290" s="2" t="b">
        <f t="shared" si="33"/>
        <v>0</v>
      </c>
    </row>
    <row r="291" spans="2:12">
      <c r="B291" s="2">
        <v>1</v>
      </c>
      <c r="C291" s="2">
        <v>1</v>
      </c>
      <c r="D291" s="2">
        <v>1</v>
      </c>
      <c r="E291" s="2">
        <v>1</v>
      </c>
      <c r="F291" s="2">
        <v>2</v>
      </c>
      <c r="G291" s="2">
        <v>1</v>
      </c>
      <c r="H291" s="2">
        <v>1</v>
      </c>
      <c r="I291" s="2">
        <v>1</v>
      </c>
      <c r="J291" s="2">
        <v>1</v>
      </c>
      <c r="K291" s="2">
        <v>2</v>
      </c>
      <c r="L291" s="2" t="b">
        <f t="shared" si="33"/>
        <v>0</v>
      </c>
    </row>
    <row r="292" spans="2:12">
      <c r="B292" s="2">
        <v>4</v>
      </c>
      <c r="C292" s="2">
        <v>1</v>
      </c>
      <c r="D292" s="2">
        <v>1</v>
      </c>
      <c r="E292" s="2">
        <v>1</v>
      </c>
      <c r="F292" s="2">
        <v>1</v>
      </c>
      <c r="G292" s="2">
        <v>1</v>
      </c>
      <c r="H292" s="2">
        <v>2</v>
      </c>
      <c r="I292" s="2">
        <v>1</v>
      </c>
      <c r="J292" s="2">
        <v>1</v>
      </c>
      <c r="K292" s="2">
        <v>2</v>
      </c>
      <c r="L292" s="2" t="b">
        <f t="shared" si="33"/>
        <v>0</v>
      </c>
    </row>
    <row r="293" spans="2:12">
      <c r="B293" s="2">
        <v>3</v>
      </c>
      <c r="C293" s="2">
        <v>1</v>
      </c>
      <c r="D293" s="2">
        <v>1</v>
      </c>
      <c r="E293" s="2">
        <v>1</v>
      </c>
      <c r="F293" s="2">
        <v>1</v>
      </c>
      <c r="G293" s="2">
        <v>1</v>
      </c>
      <c r="H293" s="2">
        <v>2</v>
      </c>
      <c r="I293" s="2">
        <v>1</v>
      </c>
      <c r="J293" s="2">
        <v>1</v>
      </c>
      <c r="K293" s="2">
        <v>2</v>
      </c>
      <c r="L293" s="2" t="b">
        <f t="shared" si="33"/>
        <v>0</v>
      </c>
    </row>
    <row r="294" spans="2:12">
      <c r="B294" s="2">
        <v>1</v>
      </c>
      <c r="C294" s="2">
        <v>1</v>
      </c>
      <c r="D294" s="2">
        <v>1</v>
      </c>
      <c r="E294" s="2">
        <v>1</v>
      </c>
      <c r="F294" s="2">
        <v>1</v>
      </c>
      <c r="G294" s="2">
        <v>1</v>
      </c>
      <c r="H294" s="2">
        <v>1</v>
      </c>
      <c r="I294" s="2">
        <v>1</v>
      </c>
      <c r="J294" s="2">
        <v>1</v>
      </c>
      <c r="K294" s="2">
        <v>2</v>
      </c>
      <c r="L294" s="2" t="b">
        <f t="shared" si="33"/>
        <v>0</v>
      </c>
    </row>
    <row r="295" spans="2:12">
      <c r="B295" s="2">
        <v>4</v>
      </c>
      <c r="C295" s="2">
        <v>1</v>
      </c>
      <c r="D295" s="2">
        <v>1</v>
      </c>
      <c r="E295" s="2">
        <v>1</v>
      </c>
      <c r="F295" s="2">
        <v>2</v>
      </c>
      <c r="G295" s="2">
        <v>1</v>
      </c>
      <c r="H295" s="2">
        <v>2</v>
      </c>
      <c r="I295" s="2">
        <v>1</v>
      </c>
      <c r="J295" s="2">
        <v>1</v>
      </c>
      <c r="K295" s="2">
        <v>2</v>
      </c>
      <c r="L295" s="2" t="b">
        <f t="shared" si="33"/>
        <v>0</v>
      </c>
    </row>
    <row r="296" spans="2:12">
      <c r="B296" s="2">
        <v>4</v>
      </c>
      <c r="C296" s="2">
        <v>1</v>
      </c>
      <c r="D296" s="2">
        <v>1</v>
      </c>
      <c r="E296" s="2">
        <v>1</v>
      </c>
      <c r="F296" s="2">
        <v>2</v>
      </c>
      <c r="G296" s="2">
        <v>1</v>
      </c>
      <c r="H296" s="2">
        <v>2</v>
      </c>
      <c r="I296" s="2">
        <v>1</v>
      </c>
      <c r="J296" s="2">
        <v>1</v>
      </c>
      <c r="K296" s="2">
        <v>2</v>
      </c>
      <c r="L296" s="2" t="b">
        <f t="shared" si="33"/>
        <v>0</v>
      </c>
    </row>
    <row r="297" spans="2:12">
      <c r="B297" s="2">
        <v>6</v>
      </c>
      <c r="C297" s="2">
        <v>1</v>
      </c>
      <c r="D297" s="2">
        <v>1</v>
      </c>
      <c r="E297" s="2">
        <v>1</v>
      </c>
      <c r="F297" s="2">
        <v>2</v>
      </c>
      <c r="G297" s="2">
        <v>1</v>
      </c>
      <c r="H297" s="2">
        <v>3</v>
      </c>
      <c r="I297" s="2">
        <v>1</v>
      </c>
      <c r="J297" s="2">
        <v>1</v>
      </c>
      <c r="K297" s="2">
        <v>2</v>
      </c>
      <c r="L297" s="2" t="b">
        <f t="shared" si="33"/>
        <v>0</v>
      </c>
    </row>
    <row r="298" spans="2:12">
      <c r="B298" s="2">
        <v>4</v>
      </c>
      <c r="C298" s="2">
        <v>1</v>
      </c>
      <c r="D298" s="2">
        <v>1</v>
      </c>
      <c r="E298" s="2">
        <v>1</v>
      </c>
      <c r="F298" s="2">
        <v>2</v>
      </c>
      <c r="G298" s="2">
        <v>1</v>
      </c>
      <c r="H298" s="2">
        <v>2</v>
      </c>
      <c r="I298" s="2">
        <v>1</v>
      </c>
      <c r="J298" s="2">
        <v>1</v>
      </c>
      <c r="K298" s="2">
        <v>2</v>
      </c>
      <c r="L298" s="2" t="b">
        <f t="shared" si="33"/>
        <v>0</v>
      </c>
    </row>
    <row r="299" spans="2:12">
      <c r="B299" s="2">
        <v>4</v>
      </c>
      <c r="C299" s="2">
        <v>1</v>
      </c>
      <c r="D299" s="2">
        <v>1</v>
      </c>
      <c r="E299" s="2">
        <v>2</v>
      </c>
      <c r="F299" s="2">
        <v>2</v>
      </c>
      <c r="G299" s="2">
        <v>1</v>
      </c>
      <c r="H299" s="2">
        <v>2</v>
      </c>
      <c r="I299" s="2">
        <v>1</v>
      </c>
      <c r="J299" s="2">
        <v>1</v>
      </c>
      <c r="K299" s="2">
        <v>2</v>
      </c>
      <c r="L299" s="2" t="b">
        <f t="shared" si="33"/>
        <v>0</v>
      </c>
    </row>
    <row r="300" spans="2:12">
      <c r="B300" s="2">
        <v>4</v>
      </c>
      <c r="C300" s="2">
        <v>1</v>
      </c>
      <c r="D300" s="2">
        <v>1</v>
      </c>
      <c r="E300" s="2">
        <v>1</v>
      </c>
      <c r="F300" s="2">
        <v>2</v>
      </c>
      <c r="G300" s="2">
        <v>1</v>
      </c>
      <c r="H300" s="2">
        <v>3</v>
      </c>
      <c r="I300" s="2">
        <v>1</v>
      </c>
      <c r="J300" s="2">
        <v>1</v>
      </c>
      <c r="K300" s="2">
        <v>2</v>
      </c>
      <c r="L300" s="2" t="b">
        <f t="shared" si="33"/>
        <v>0</v>
      </c>
    </row>
    <row r="301" spans="2:12">
      <c r="B301" s="2">
        <v>1</v>
      </c>
      <c r="C301" s="2">
        <v>1</v>
      </c>
      <c r="D301" s="2">
        <v>1</v>
      </c>
      <c r="E301" s="2">
        <v>1</v>
      </c>
      <c r="F301" s="2">
        <v>2</v>
      </c>
      <c r="G301" s="2">
        <v>1</v>
      </c>
      <c r="H301" s="2">
        <v>1</v>
      </c>
      <c r="I301" s="2">
        <v>1</v>
      </c>
      <c r="J301" s="2">
        <v>1</v>
      </c>
      <c r="K301" s="2">
        <v>2</v>
      </c>
      <c r="L301" s="2" t="b">
        <f t="shared" si="33"/>
        <v>0</v>
      </c>
    </row>
    <row r="302" spans="2:12">
      <c r="B302" s="2">
        <v>5</v>
      </c>
      <c r="C302" s="2">
        <v>1</v>
      </c>
      <c r="D302" s="2">
        <v>1</v>
      </c>
      <c r="E302" s="2">
        <v>1</v>
      </c>
      <c r="F302" s="2">
        <v>2</v>
      </c>
      <c r="G302" s="2">
        <v>1</v>
      </c>
      <c r="H302" s="2">
        <v>1</v>
      </c>
      <c r="I302" s="2">
        <v>1</v>
      </c>
      <c r="J302" s="2">
        <v>1</v>
      </c>
      <c r="K302" s="2">
        <v>2</v>
      </c>
      <c r="L302" s="2" t="b">
        <f t="shared" si="33"/>
        <v>0</v>
      </c>
    </row>
    <row r="303" spans="2:12">
      <c r="B303" s="2">
        <v>2</v>
      </c>
      <c r="C303" s="2">
        <v>1</v>
      </c>
      <c r="D303" s="2">
        <v>1</v>
      </c>
      <c r="E303" s="2">
        <v>1</v>
      </c>
      <c r="F303" s="2">
        <v>2</v>
      </c>
      <c r="G303" s="2">
        <v>1</v>
      </c>
      <c r="H303" s="2">
        <v>1</v>
      </c>
      <c r="I303" s="2">
        <v>1</v>
      </c>
      <c r="J303" s="2">
        <v>1</v>
      </c>
      <c r="K303" s="2">
        <v>2</v>
      </c>
      <c r="L303" s="2" t="b">
        <f t="shared" si="33"/>
        <v>0</v>
      </c>
    </row>
    <row r="304" spans="2:12">
      <c r="B304" s="2">
        <v>1</v>
      </c>
      <c r="C304" s="2">
        <v>1</v>
      </c>
      <c r="D304" s="2">
        <v>1</v>
      </c>
      <c r="E304" s="2">
        <v>1</v>
      </c>
      <c r="F304" s="2">
        <v>2</v>
      </c>
      <c r="G304" s="2">
        <v>1</v>
      </c>
      <c r="H304" s="2">
        <v>1</v>
      </c>
      <c r="I304" s="2">
        <v>1</v>
      </c>
      <c r="J304" s="2">
        <v>1</v>
      </c>
      <c r="K304" s="2">
        <v>2</v>
      </c>
      <c r="L304" s="2" t="b">
        <f t="shared" si="33"/>
        <v>0</v>
      </c>
    </row>
    <row r="305" spans="2:12">
      <c r="B305" s="2">
        <v>5</v>
      </c>
      <c r="C305" s="2">
        <v>1</v>
      </c>
      <c r="D305" s="2">
        <v>1</v>
      </c>
      <c r="E305" s="2">
        <v>1</v>
      </c>
      <c r="F305" s="2">
        <v>2</v>
      </c>
      <c r="G305" s="2">
        <v>1</v>
      </c>
      <c r="H305" s="2">
        <v>2</v>
      </c>
      <c r="I305" s="2">
        <v>1</v>
      </c>
      <c r="J305" s="2">
        <v>1</v>
      </c>
      <c r="K305" s="2">
        <v>2</v>
      </c>
      <c r="L305" s="2" t="b">
        <f t="shared" si="33"/>
        <v>0</v>
      </c>
    </row>
    <row r="306" spans="2:12">
      <c r="B306" s="2">
        <v>5</v>
      </c>
      <c r="C306" s="2">
        <v>1</v>
      </c>
      <c r="D306" s="2">
        <v>1</v>
      </c>
      <c r="E306" s="2">
        <v>1</v>
      </c>
      <c r="F306" s="2">
        <v>2</v>
      </c>
      <c r="G306" s="2">
        <v>1</v>
      </c>
      <c r="H306" s="2">
        <v>1</v>
      </c>
      <c r="I306" s="2">
        <v>1</v>
      </c>
      <c r="J306" s="2">
        <v>1</v>
      </c>
      <c r="K306" s="2">
        <v>2</v>
      </c>
      <c r="L306" s="2" t="b">
        <f t="shared" si="33"/>
        <v>0</v>
      </c>
    </row>
    <row r="307" spans="2:12">
      <c r="B307" s="2">
        <v>3</v>
      </c>
      <c r="C307" s="2">
        <v>1</v>
      </c>
      <c r="D307" s="2">
        <v>1</v>
      </c>
      <c r="E307" s="2">
        <v>1</v>
      </c>
      <c r="F307" s="2">
        <v>1</v>
      </c>
      <c r="G307" s="2">
        <v>1</v>
      </c>
      <c r="H307" s="2">
        <v>2</v>
      </c>
      <c r="I307" s="2">
        <v>1</v>
      </c>
      <c r="J307" s="2">
        <v>1</v>
      </c>
      <c r="K307" s="2">
        <v>2</v>
      </c>
      <c r="L307" s="2" t="b">
        <f t="shared" si="33"/>
        <v>0</v>
      </c>
    </row>
    <row r="308" spans="2:12">
      <c r="B308" s="2">
        <v>1</v>
      </c>
      <c r="C308" s="2">
        <v>1</v>
      </c>
      <c r="D308" s="2">
        <v>1</v>
      </c>
      <c r="E308" s="2">
        <v>1</v>
      </c>
      <c r="F308" s="2">
        <v>1</v>
      </c>
      <c r="G308" s="2">
        <v>1</v>
      </c>
      <c r="H308" s="2">
        <v>1</v>
      </c>
      <c r="I308" s="2">
        <v>1</v>
      </c>
      <c r="J308" s="2">
        <v>1</v>
      </c>
      <c r="K308" s="2">
        <v>2</v>
      </c>
      <c r="L308" s="2" t="b">
        <f t="shared" si="33"/>
        <v>0</v>
      </c>
    </row>
    <row r="309" spans="2:12">
      <c r="B309" s="2">
        <v>1</v>
      </c>
      <c r="C309" s="2">
        <v>1</v>
      </c>
      <c r="D309" s="2">
        <v>1</v>
      </c>
      <c r="E309" s="2">
        <v>1</v>
      </c>
      <c r="F309" s="2">
        <v>1</v>
      </c>
      <c r="G309" s="2">
        <v>1</v>
      </c>
      <c r="H309" s="2">
        <v>2</v>
      </c>
      <c r="I309" s="2">
        <v>1</v>
      </c>
      <c r="J309" s="2">
        <v>1</v>
      </c>
      <c r="K309" s="2">
        <v>2</v>
      </c>
      <c r="L309" s="2" t="b">
        <f t="shared" si="33"/>
        <v>0</v>
      </c>
    </row>
    <row r="310" spans="2:12">
      <c r="B310" s="2">
        <v>3</v>
      </c>
      <c r="C310" s="2">
        <v>1</v>
      </c>
      <c r="D310" s="2">
        <v>2</v>
      </c>
      <c r="E310" s="2">
        <v>2</v>
      </c>
      <c r="F310" s="2">
        <v>2</v>
      </c>
      <c r="G310" s="2">
        <v>1</v>
      </c>
      <c r="H310" s="2">
        <v>1</v>
      </c>
      <c r="I310" s="2">
        <v>1</v>
      </c>
      <c r="J310" s="2">
        <v>1</v>
      </c>
      <c r="K310" s="2">
        <v>2</v>
      </c>
      <c r="L310" s="2" t="b">
        <f t="shared" si="33"/>
        <v>0</v>
      </c>
    </row>
    <row r="311" spans="2:12">
      <c r="B311" s="2">
        <v>1</v>
      </c>
      <c r="C311" s="2">
        <v>1</v>
      </c>
      <c r="D311" s="2">
        <v>1</v>
      </c>
      <c r="E311" s="2">
        <v>1</v>
      </c>
      <c r="F311" s="2">
        <v>3</v>
      </c>
      <c r="G311" s="2">
        <v>1</v>
      </c>
      <c r="H311" s="2">
        <v>1</v>
      </c>
      <c r="I311" s="2">
        <v>1</v>
      </c>
      <c r="J311" s="2">
        <v>1</v>
      </c>
      <c r="K311" s="2">
        <v>2</v>
      </c>
      <c r="L311" s="2" t="b">
        <f t="shared" si="33"/>
        <v>0</v>
      </c>
    </row>
    <row r="312" spans="2:12">
      <c r="B312" s="2">
        <v>4</v>
      </c>
      <c r="C312" s="2">
        <v>1</v>
      </c>
      <c r="D312" s="2">
        <v>1</v>
      </c>
      <c r="E312" s="2">
        <v>1</v>
      </c>
      <c r="F312" s="2">
        <v>3</v>
      </c>
      <c r="G312" s="2">
        <v>1</v>
      </c>
      <c r="H312" s="2">
        <v>1</v>
      </c>
      <c r="I312" s="2">
        <v>1</v>
      </c>
      <c r="J312" s="2">
        <v>1</v>
      </c>
      <c r="K312" s="2">
        <v>2</v>
      </c>
      <c r="L312" s="2" t="b">
        <f t="shared" si="33"/>
        <v>0</v>
      </c>
    </row>
    <row r="313" spans="2:12">
      <c r="B313" s="2">
        <v>3</v>
      </c>
      <c r="C313" s="2">
        <v>1</v>
      </c>
      <c r="D313" s="2">
        <v>1</v>
      </c>
      <c r="E313" s="2">
        <v>1</v>
      </c>
      <c r="F313" s="2">
        <v>2</v>
      </c>
      <c r="G313" s="2">
        <v>1</v>
      </c>
      <c r="H313" s="2">
        <v>2</v>
      </c>
      <c r="I313" s="2">
        <v>1</v>
      </c>
      <c r="J313" s="2">
        <v>1</v>
      </c>
      <c r="K313" s="2">
        <v>2</v>
      </c>
      <c r="L313" s="2" t="b">
        <f t="shared" si="33"/>
        <v>0</v>
      </c>
    </row>
    <row r="314" spans="2:12">
      <c r="B314" s="2">
        <v>3</v>
      </c>
      <c r="C314" s="2">
        <v>1</v>
      </c>
      <c r="D314" s="2">
        <v>1</v>
      </c>
      <c r="E314" s="2">
        <v>2</v>
      </c>
      <c r="F314" s="2">
        <v>2</v>
      </c>
      <c r="G314" s="2">
        <v>1</v>
      </c>
      <c r="H314" s="2">
        <v>1</v>
      </c>
      <c r="I314" s="2">
        <v>1</v>
      </c>
      <c r="J314" s="2">
        <v>1</v>
      </c>
      <c r="K314" s="2">
        <v>2</v>
      </c>
      <c r="L314" s="2" t="b">
        <f t="shared" si="33"/>
        <v>0</v>
      </c>
    </row>
    <row r="315" spans="2:12">
      <c r="B315" s="2">
        <v>4</v>
      </c>
      <c r="C315" s="2">
        <v>1</v>
      </c>
      <c r="D315" s="2">
        <v>1</v>
      </c>
      <c r="E315" s="2">
        <v>1</v>
      </c>
      <c r="F315" s="2">
        <v>2</v>
      </c>
      <c r="G315" s="2">
        <v>1</v>
      </c>
      <c r="H315" s="2">
        <v>1</v>
      </c>
      <c r="I315" s="2">
        <v>1</v>
      </c>
      <c r="J315" s="2">
        <v>1</v>
      </c>
      <c r="K315" s="2">
        <v>2</v>
      </c>
      <c r="L315" s="2" t="b">
        <f t="shared" si="33"/>
        <v>0</v>
      </c>
    </row>
    <row r="316" spans="2:12">
      <c r="B316" s="2">
        <v>4</v>
      </c>
      <c r="C316" s="2">
        <v>1</v>
      </c>
      <c r="D316" s="2">
        <v>1</v>
      </c>
      <c r="E316" s="2">
        <v>1</v>
      </c>
      <c r="F316" s="2">
        <v>2</v>
      </c>
      <c r="G316" s="2">
        <v>1</v>
      </c>
      <c r="H316" s="2">
        <v>3</v>
      </c>
      <c r="I316" s="2">
        <v>1</v>
      </c>
      <c r="J316" s="2">
        <v>1</v>
      </c>
      <c r="K316" s="2">
        <v>2</v>
      </c>
      <c r="L316" s="2" t="b">
        <f t="shared" si="33"/>
        <v>0</v>
      </c>
    </row>
    <row r="317" spans="2:12">
      <c r="B317" s="2">
        <v>6</v>
      </c>
      <c r="C317" s="2">
        <v>1</v>
      </c>
      <c r="D317" s="2">
        <v>3</v>
      </c>
      <c r="E317" s="2">
        <v>2</v>
      </c>
      <c r="F317" s="2">
        <v>2</v>
      </c>
      <c r="G317" s="2">
        <v>1</v>
      </c>
      <c r="H317" s="2">
        <v>1</v>
      </c>
      <c r="I317" s="2">
        <v>1</v>
      </c>
      <c r="J317" s="2">
        <v>1</v>
      </c>
      <c r="K317" s="2">
        <v>2</v>
      </c>
      <c r="L317" s="2" t="b">
        <f t="shared" si="33"/>
        <v>0</v>
      </c>
    </row>
    <row r="318" spans="2:12">
      <c r="B318" s="2">
        <v>4</v>
      </c>
      <c r="C318" s="2">
        <v>1</v>
      </c>
      <c r="D318" s="2">
        <v>1</v>
      </c>
      <c r="E318" s="2">
        <v>1</v>
      </c>
      <c r="F318" s="2">
        <v>1</v>
      </c>
      <c r="G318" s="2">
        <v>1</v>
      </c>
      <c r="H318" s="2">
        <v>2</v>
      </c>
      <c r="I318" s="2">
        <v>1</v>
      </c>
      <c r="J318" s="2">
        <v>1</v>
      </c>
      <c r="K318" s="2">
        <v>2</v>
      </c>
      <c r="L318" s="2" t="b">
        <f t="shared" si="33"/>
        <v>0</v>
      </c>
    </row>
    <row r="319" spans="2:12">
      <c r="B319" s="2">
        <v>1</v>
      </c>
      <c r="C319" s="2">
        <v>1</v>
      </c>
      <c r="D319" s="2">
        <v>1</v>
      </c>
      <c r="E319" s="2">
        <v>1</v>
      </c>
      <c r="F319" s="2">
        <v>1</v>
      </c>
      <c r="G319" s="2">
        <v>1</v>
      </c>
      <c r="H319" s="2">
        <v>3</v>
      </c>
      <c r="I319" s="2">
        <v>1</v>
      </c>
      <c r="J319" s="2">
        <v>1</v>
      </c>
      <c r="K319" s="2">
        <v>2</v>
      </c>
      <c r="L319" s="2" t="b">
        <f t="shared" si="33"/>
        <v>0</v>
      </c>
    </row>
    <row r="320" spans="2:12">
      <c r="B320" s="2">
        <v>3</v>
      </c>
      <c r="C320" s="2">
        <v>1</v>
      </c>
      <c r="D320" s="2">
        <v>1</v>
      </c>
      <c r="E320" s="2">
        <v>1</v>
      </c>
      <c r="F320" s="2">
        <v>2</v>
      </c>
      <c r="G320" s="2">
        <v>1</v>
      </c>
      <c r="H320" s="2">
        <v>2</v>
      </c>
      <c r="I320" s="2">
        <v>1</v>
      </c>
      <c r="J320" s="2">
        <v>1</v>
      </c>
      <c r="K320" s="2">
        <v>2</v>
      </c>
      <c r="L320" s="2" t="b">
        <f t="shared" si="33"/>
        <v>0</v>
      </c>
    </row>
    <row r="321" spans="2:12">
      <c r="B321" s="2">
        <v>2</v>
      </c>
      <c r="C321" s="2">
        <v>1</v>
      </c>
      <c r="D321" s="2">
        <v>1</v>
      </c>
      <c r="E321" s="2">
        <v>1</v>
      </c>
      <c r="F321" s="2">
        <v>2</v>
      </c>
      <c r="G321" s="2">
        <v>1</v>
      </c>
      <c r="H321" s="2">
        <v>2</v>
      </c>
      <c r="I321" s="2">
        <v>1</v>
      </c>
      <c r="J321" s="2">
        <v>1</v>
      </c>
      <c r="K321" s="2">
        <v>2</v>
      </c>
      <c r="L321" s="2" t="b">
        <f t="shared" si="33"/>
        <v>0</v>
      </c>
    </row>
    <row r="322" spans="2:12">
      <c r="B322" s="2">
        <v>1</v>
      </c>
      <c r="C322" s="2">
        <v>1</v>
      </c>
      <c r="D322" s="2">
        <v>3</v>
      </c>
      <c r="E322" s="2">
        <v>2</v>
      </c>
      <c r="F322" s="2">
        <v>2</v>
      </c>
      <c r="G322" s="2">
        <v>1</v>
      </c>
      <c r="H322" s="2">
        <v>3</v>
      </c>
      <c r="I322" s="2">
        <v>1</v>
      </c>
      <c r="J322" s="2">
        <v>1</v>
      </c>
      <c r="K322" s="2">
        <v>2</v>
      </c>
      <c r="L322" s="2" t="b">
        <f t="shared" si="33"/>
        <v>0</v>
      </c>
    </row>
    <row r="323" spans="2:12">
      <c r="B323" s="2">
        <v>5</v>
      </c>
      <c r="C323" s="2">
        <v>1</v>
      </c>
      <c r="D323" s="2">
        <v>1</v>
      </c>
      <c r="E323" s="2">
        <v>1</v>
      </c>
      <c r="F323" s="2">
        <v>2</v>
      </c>
      <c r="G323" s="2">
        <v>1</v>
      </c>
      <c r="H323" s="2">
        <v>3</v>
      </c>
      <c r="I323" s="2">
        <v>1</v>
      </c>
      <c r="J323" s="2">
        <v>1</v>
      </c>
      <c r="K323" s="2">
        <v>2</v>
      </c>
      <c r="L323" s="2" t="b">
        <f t="shared" si="33"/>
        <v>0</v>
      </c>
    </row>
    <row r="324" spans="2:12">
      <c r="B324" s="2">
        <v>5</v>
      </c>
      <c r="C324" s="2">
        <v>1</v>
      </c>
      <c r="D324" s="2">
        <v>2</v>
      </c>
      <c r="E324" s="2">
        <v>1</v>
      </c>
      <c r="F324" s="2">
        <v>2</v>
      </c>
      <c r="G324" s="2">
        <v>1</v>
      </c>
      <c r="H324" s="2">
        <v>3</v>
      </c>
      <c r="I324" s="2">
        <v>1</v>
      </c>
      <c r="J324" s="2">
        <v>1</v>
      </c>
      <c r="K324" s="2">
        <v>2</v>
      </c>
      <c r="L324" s="2" t="b">
        <f t="shared" si="33"/>
        <v>0</v>
      </c>
    </row>
    <row r="325" spans="2:12">
      <c r="B325" s="2">
        <v>4</v>
      </c>
      <c r="C325" s="2">
        <v>1</v>
      </c>
      <c r="D325" s="2">
        <v>1</v>
      </c>
      <c r="E325" s="2">
        <v>1</v>
      </c>
      <c r="F325" s="2">
        <v>2</v>
      </c>
      <c r="G325" s="2">
        <v>1</v>
      </c>
      <c r="H325" s="2">
        <v>2</v>
      </c>
      <c r="I325" s="2">
        <v>1</v>
      </c>
      <c r="J325" s="2">
        <v>1</v>
      </c>
      <c r="K325" s="2">
        <v>2</v>
      </c>
      <c r="L325" s="2" t="b">
        <f t="shared" si="33"/>
        <v>0</v>
      </c>
    </row>
    <row r="326" spans="2:12">
      <c r="B326" s="2">
        <v>6</v>
      </c>
      <c r="C326" s="2">
        <v>1</v>
      </c>
      <c r="D326" s="2">
        <v>1</v>
      </c>
      <c r="E326" s="2">
        <v>1</v>
      </c>
      <c r="F326" s="2">
        <v>2</v>
      </c>
      <c r="G326" s="2">
        <v>1</v>
      </c>
      <c r="H326" s="2">
        <v>2</v>
      </c>
      <c r="I326" s="2">
        <v>1</v>
      </c>
      <c r="J326" s="2">
        <v>1</v>
      </c>
      <c r="K326" s="2">
        <v>2</v>
      </c>
      <c r="L326" s="2" t="b">
        <f t="shared" si="33"/>
        <v>0</v>
      </c>
    </row>
    <row r="327" spans="2:12">
      <c r="B327" s="2">
        <v>3</v>
      </c>
      <c r="C327" s="2">
        <v>1</v>
      </c>
      <c r="D327" s="2">
        <v>1</v>
      </c>
      <c r="E327" s="2">
        <v>1</v>
      </c>
      <c r="F327" s="2">
        <v>2</v>
      </c>
      <c r="G327" s="2">
        <v>1</v>
      </c>
      <c r="H327" s="2">
        <v>1</v>
      </c>
      <c r="I327" s="2">
        <v>1</v>
      </c>
      <c r="J327" s="2">
        <v>1</v>
      </c>
      <c r="K327" s="2">
        <v>2</v>
      </c>
      <c r="L327" s="2" t="b">
        <f t="shared" si="33"/>
        <v>0</v>
      </c>
    </row>
    <row r="328" spans="2:12">
      <c r="B328" s="2">
        <v>4</v>
      </c>
      <c r="C328" s="2">
        <v>1</v>
      </c>
      <c r="D328" s="2">
        <v>1</v>
      </c>
      <c r="E328" s="2">
        <v>1</v>
      </c>
      <c r="F328" s="2">
        <v>2</v>
      </c>
      <c r="G328" s="2">
        <v>1</v>
      </c>
      <c r="H328" s="2">
        <v>2</v>
      </c>
      <c r="I328" s="2">
        <v>1</v>
      </c>
      <c r="J328" s="2">
        <v>1</v>
      </c>
      <c r="K328" s="2">
        <v>2</v>
      </c>
      <c r="L328" s="2" t="b">
        <f t="shared" si="33"/>
        <v>0</v>
      </c>
    </row>
    <row r="329" spans="2:12">
      <c r="B329" s="2">
        <v>2</v>
      </c>
      <c r="C329" s="2">
        <v>1</v>
      </c>
      <c r="D329" s="2">
        <v>3</v>
      </c>
      <c r="E329" s="2">
        <v>2</v>
      </c>
      <c r="F329" s="2">
        <v>2</v>
      </c>
      <c r="G329" s="2">
        <v>1</v>
      </c>
      <c r="H329" s="2">
        <v>2</v>
      </c>
      <c r="I329" s="2">
        <v>1</v>
      </c>
      <c r="J329" s="2">
        <v>1</v>
      </c>
      <c r="K329" s="2">
        <v>2</v>
      </c>
      <c r="L329" s="2" t="b">
        <f t="shared" si="33"/>
        <v>0</v>
      </c>
    </row>
    <row r="330" spans="2:12">
      <c r="B330" s="2">
        <v>5</v>
      </c>
      <c r="C330" s="2">
        <v>1</v>
      </c>
      <c r="D330" s="2">
        <v>1</v>
      </c>
      <c r="E330" s="2">
        <v>1</v>
      </c>
      <c r="F330" s="2">
        <v>2</v>
      </c>
      <c r="G330" s="2">
        <v>1</v>
      </c>
      <c r="H330" s="2">
        <v>2</v>
      </c>
      <c r="I330" s="2">
        <v>1</v>
      </c>
      <c r="J330" s="2">
        <v>1</v>
      </c>
      <c r="K330" s="2">
        <v>2</v>
      </c>
      <c r="L330" s="2" t="b">
        <f t="shared" si="33"/>
        <v>0</v>
      </c>
    </row>
    <row r="331" spans="2:12">
      <c r="B331" s="2">
        <v>2</v>
      </c>
      <c r="C331" s="2">
        <v>1</v>
      </c>
      <c r="D331" s="2">
        <v>1</v>
      </c>
      <c r="E331" s="2">
        <v>1</v>
      </c>
      <c r="F331" s="2">
        <v>1</v>
      </c>
      <c r="G331" s="2">
        <v>1</v>
      </c>
      <c r="H331" s="2">
        <v>1</v>
      </c>
      <c r="I331" s="2">
        <v>1</v>
      </c>
      <c r="J331" s="2">
        <v>1</v>
      </c>
      <c r="K331" s="2">
        <v>2</v>
      </c>
      <c r="L331" s="2" t="b">
        <f t="shared" si="33"/>
        <v>0</v>
      </c>
    </row>
    <row r="332" spans="2:12">
      <c r="B332" s="2">
        <v>3</v>
      </c>
      <c r="C332" s="2">
        <v>1</v>
      </c>
      <c r="D332" s="2">
        <v>1</v>
      </c>
      <c r="E332" s="2">
        <v>1</v>
      </c>
      <c r="F332" s="2">
        <v>1</v>
      </c>
      <c r="G332" s="2">
        <v>1</v>
      </c>
      <c r="H332" s="2">
        <v>1</v>
      </c>
      <c r="I332" s="2">
        <v>1</v>
      </c>
      <c r="J332" s="2">
        <v>1</v>
      </c>
      <c r="K332" s="2">
        <v>2</v>
      </c>
      <c r="L332" s="2" t="b">
        <f t="shared" si="33"/>
        <v>0</v>
      </c>
    </row>
    <row r="333" spans="2:12">
      <c r="B333" s="2">
        <v>3</v>
      </c>
      <c r="C333" s="2">
        <v>1</v>
      </c>
      <c r="D333" s="2">
        <v>1</v>
      </c>
      <c r="E333" s="2">
        <v>1</v>
      </c>
      <c r="F333" s="2">
        <v>2</v>
      </c>
      <c r="G333" s="2">
        <v>1</v>
      </c>
      <c r="H333" s="2">
        <v>2</v>
      </c>
      <c r="I333" s="2">
        <v>1</v>
      </c>
      <c r="J333" s="2">
        <v>1</v>
      </c>
      <c r="K333" s="2">
        <v>2</v>
      </c>
      <c r="L333" s="2" t="b">
        <f t="shared" si="33"/>
        <v>0</v>
      </c>
    </row>
    <row r="334" spans="2:12">
      <c r="B334" s="2">
        <v>1</v>
      </c>
      <c r="C334" s="2">
        <v>1</v>
      </c>
      <c r="D334" s="2">
        <v>1</v>
      </c>
      <c r="E334" s="2">
        <v>1</v>
      </c>
      <c r="F334" s="2">
        <v>2</v>
      </c>
      <c r="G334" s="2">
        <v>1</v>
      </c>
      <c r="H334" s="2">
        <v>3</v>
      </c>
      <c r="I334" s="2">
        <v>1</v>
      </c>
      <c r="J334" s="2">
        <v>1</v>
      </c>
      <c r="K334" s="2">
        <v>2</v>
      </c>
      <c r="L334" s="2" t="b">
        <f t="shared" si="33"/>
        <v>0</v>
      </c>
    </row>
    <row r="335" spans="2:12">
      <c r="B335" s="2">
        <v>3</v>
      </c>
      <c r="C335" s="2">
        <v>1</v>
      </c>
      <c r="D335" s="2">
        <v>1</v>
      </c>
      <c r="E335" s="2">
        <v>1</v>
      </c>
      <c r="F335" s="2">
        <v>2</v>
      </c>
      <c r="G335" s="2">
        <v>1</v>
      </c>
      <c r="H335" s="2">
        <v>1</v>
      </c>
      <c r="I335" s="2">
        <v>1</v>
      </c>
      <c r="J335" s="2">
        <v>1</v>
      </c>
      <c r="K335" s="2">
        <v>2</v>
      </c>
      <c r="L335" s="2" t="b">
        <f t="shared" si="33"/>
        <v>0</v>
      </c>
    </row>
    <row r="336" spans="2:12">
      <c r="B336" s="2">
        <v>5</v>
      </c>
      <c r="C336" s="2">
        <v>1</v>
      </c>
      <c r="D336" s="2">
        <v>1</v>
      </c>
      <c r="E336" s="2">
        <v>3</v>
      </c>
      <c r="F336" s="2">
        <v>2</v>
      </c>
      <c r="G336" s="2">
        <v>1</v>
      </c>
      <c r="H336" s="2">
        <v>1</v>
      </c>
      <c r="I336" s="2">
        <v>1</v>
      </c>
      <c r="J336" s="2">
        <v>1</v>
      </c>
      <c r="K336" s="2">
        <v>2</v>
      </c>
      <c r="L336" s="2" t="b">
        <f t="shared" si="33"/>
        <v>0</v>
      </c>
    </row>
    <row r="337" spans="2:12">
      <c r="B337" s="2">
        <v>2</v>
      </c>
      <c r="C337" s="2">
        <v>1</v>
      </c>
      <c r="D337" s="2">
        <v>1</v>
      </c>
      <c r="E337" s="2">
        <v>1</v>
      </c>
      <c r="F337" s="2">
        <v>2</v>
      </c>
      <c r="G337" s="2">
        <v>1</v>
      </c>
      <c r="H337" s="2">
        <v>2</v>
      </c>
      <c r="I337" s="2">
        <v>1</v>
      </c>
      <c r="J337" s="2">
        <v>1</v>
      </c>
      <c r="K337" s="2">
        <v>2</v>
      </c>
      <c r="L337" s="2" t="b">
        <f t="shared" si="33"/>
        <v>0</v>
      </c>
    </row>
    <row r="338" spans="2:12">
      <c r="B338" s="2">
        <v>5</v>
      </c>
      <c r="C338" s="2">
        <v>1</v>
      </c>
      <c r="D338" s="2">
        <v>1</v>
      </c>
      <c r="E338" s="2">
        <v>1</v>
      </c>
      <c r="F338" s="2">
        <v>2</v>
      </c>
      <c r="G338" s="2">
        <v>1</v>
      </c>
      <c r="H338" s="2">
        <v>2</v>
      </c>
      <c r="I338" s="2">
        <v>1</v>
      </c>
      <c r="J338" s="2">
        <v>1</v>
      </c>
      <c r="K338" s="2">
        <v>2</v>
      </c>
      <c r="L338" s="2" t="b">
        <f t="shared" si="33"/>
        <v>0</v>
      </c>
    </row>
    <row r="339" spans="2:12">
      <c r="B339" s="2">
        <v>5</v>
      </c>
      <c r="C339" s="2">
        <v>1</v>
      </c>
      <c r="D339" s="2">
        <v>1</v>
      </c>
      <c r="E339" s="2">
        <v>1</v>
      </c>
      <c r="F339" s="2">
        <v>2</v>
      </c>
      <c r="G339" s="2">
        <v>1</v>
      </c>
      <c r="H339" s="2">
        <v>3</v>
      </c>
      <c r="I339" s="2">
        <v>1</v>
      </c>
      <c r="J339" s="2">
        <v>1</v>
      </c>
      <c r="K339" s="2">
        <v>2</v>
      </c>
      <c r="L339" s="2" t="b">
        <f t="shared" si="33"/>
        <v>0</v>
      </c>
    </row>
    <row r="340" spans="2:12">
      <c r="B340" s="2">
        <v>5</v>
      </c>
      <c r="C340" s="2">
        <v>1</v>
      </c>
      <c r="D340" s="2">
        <v>1</v>
      </c>
      <c r="E340" s="2">
        <v>1</v>
      </c>
      <c r="F340" s="2">
        <v>2</v>
      </c>
      <c r="G340" s="2">
        <v>1</v>
      </c>
      <c r="H340" s="2">
        <v>3</v>
      </c>
      <c r="I340" s="2">
        <v>1</v>
      </c>
      <c r="J340" s="2">
        <v>1</v>
      </c>
      <c r="K340" s="2">
        <v>2</v>
      </c>
      <c r="L340" s="2" t="b">
        <f t="shared" si="33"/>
        <v>0</v>
      </c>
    </row>
    <row r="341" spans="2:12">
      <c r="B341" s="2">
        <v>1</v>
      </c>
      <c r="C341" s="2">
        <v>1</v>
      </c>
      <c r="D341" s="2">
        <v>1</v>
      </c>
      <c r="E341" s="2">
        <v>1</v>
      </c>
      <c r="F341" s="2">
        <v>2</v>
      </c>
      <c r="G341" s="2">
        <v>1</v>
      </c>
      <c r="H341" s="2">
        <v>3</v>
      </c>
      <c r="I341" s="2">
        <v>1</v>
      </c>
      <c r="J341" s="2">
        <v>1</v>
      </c>
      <c r="K341" s="2">
        <v>2</v>
      </c>
      <c r="L341" s="2" t="b">
        <f t="shared" si="33"/>
        <v>0</v>
      </c>
    </row>
    <row r="342" spans="2:12">
      <c r="B342" s="2">
        <v>3</v>
      </c>
      <c r="C342" s="2">
        <v>1</v>
      </c>
      <c r="D342" s="2">
        <v>1</v>
      </c>
      <c r="E342" s="2">
        <v>1</v>
      </c>
      <c r="F342" s="2">
        <v>2</v>
      </c>
      <c r="G342" s="2">
        <v>1</v>
      </c>
      <c r="H342" s="2">
        <v>2</v>
      </c>
      <c r="I342" s="2">
        <v>1</v>
      </c>
      <c r="J342" s="2">
        <v>1</v>
      </c>
      <c r="K342" s="2">
        <v>2</v>
      </c>
      <c r="L342" s="2" t="b">
        <f t="shared" si="33"/>
        <v>0</v>
      </c>
    </row>
    <row r="343" spans="2:12">
      <c r="B343" s="2">
        <v>4</v>
      </c>
      <c r="C343" s="2">
        <v>1</v>
      </c>
      <c r="D343" s="2">
        <v>1</v>
      </c>
      <c r="E343" s="2">
        <v>1</v>
      </c>
      <c r="F343" s="2">
        <v>2</v>
      </c>
      <c r="G343" s="2">
        <v>1</v>
      </c>
      <c r="H343" s="2">
        <v>3</v>
      </c>
      <c r="I343" s="2">
        <v>2</v>
      </c>
      <c r="J343" s="2">
        <v>1</v>
      </c>
      <c r="K343" s="2">
        <v>2</v>
      </c>
      <c r="L343" s="2" t="b">
        <f t="shared" si="33"/>
        <v>0</v>
      </c>
    </row>
    <row r="344" spans="2:12">
      <c r="B344" s="2">
        <v>3</v>
      </c>
      <c r="C344" s="2">
        <v>1</v>
      </c>
      <c r="D344" s="2">
        <v>2</v>
      </c>
      <c r="E344" s="2">
        <v>1</v>
      </c>
      <c r="F344" s="2">
        <v>2</v>
      </c>
      <c r="G344" s="2">
        <v>1</v>
      </c>
      <c r="H344" s="2">
        <v>3</v>
      </c>
      <c r="I344" s="2">
        <v>1</v>
      </c>
      <c r="J344" s="2">
        <v>1</v>
      </c>
      <c r="K344" s="2">
        <v>2</v>
      </c>
      <c r="L344" s="2" t="b">
        <f t="shared" si="33"/>
        <v>0</v>
      </c>
    </row>
    <row r="345" spans="2:12">
      <c r="B345" s="2">
        <v>3</v>
      </c>
      <c r="C345" s="2">
        <v>1</v>
      </c>
      <c r="D345" s="2">
        <v>1</v>
      </c>
      <c r="E345" s="2">
        <v>1</v>
      </c>
      <c r="F345" s="2">
        <v>2</v>
      </c>
      <c r="G345" s="2">
        <v>1</v>
      </c>
      <c r="H345" s="2">
        <v>2</v>
      </c>
      <c r="I345" s="2">
        <v>1</v>
      </c>
      <c r="J345" s="2">
        <v>1</v>
      </c>
      <c r="K345" s="2">
        <v>2</v>
      </c>
      <c r="L345" s="2" t="b">
        <f t="shared" si="33"/>
        <v>0</v>
      </c>
    </row>
    <row r="346" spans="2:12">
      <c r="B346" s="2">
        <v>1</v>
      </c>
      <c r="C346" s="2">
        <v>1</v>
      </c>
      <c r="D346" s="2">
        <v>1</v>
      </c>
      <c r="E346" s="2">
        <v>1</v>
      </c>
      <c r="F346" s="2">
        <v>2</v>
      </c>
      <c r="G346" s="2">
        <v>1</v>
      </c>
      <c r="H346" s="2">
        <v>2</v>
      </c>
      <c r="I346" s="2">
        <v>1</v>
      </c>
      <c r="J346" s="2">
        <v>1</v>
      </c>
      <c r="K346" s="2">
        <v>2</v>
      </c>
      <c r="L346" s="2" t="b">
        <f t="shared" ref="L346:L409" si="34">IF(K346=4, TRUE, FALSE)</f>
        <v>0</v>
      </c>
    </row>
    <row r="347" spans="2:12">
      <c r="B347" s="2">
        <v>5</v>
      </c>
      <c r="C347" s="2">
        <v>1</v>
      </c>
      <c r="D347" s="2">
        <v>2</v>
      </c>
      <c r="E347" s="2">
        <v>1</v>
      </c>
      <c r="F347" s="2">
        <v>2</v>
      </c>
      <c r="G347" s="2">
        <v>1</v>
      </c>
      <c r="H347" s="2">
        <v>3</v>
      </c>
      <c r="I347" s="2">
        <v>1</v>
      </c>
      <c r="J347" s="2">
        <v>1</v>
      </c>
      <c r="K347" s="2">
        <v>2</v>
      </c>
      <c r="L347" s="2" t="b">
        <f t="shared" si="34"/>
        <v>0</v>
      </c>
    </row>
    <row r="348" spans="2:12">
      <c r="B348" s="2">
        <v>5</v>
      </c>
      <c r="C348" s="2">
        <v>1</v>
      </c>
      <c r="D348" s="2">
        <v>1</v>
      </c>
      <c r="E348" s="2">
        <v>1</v>
      </c>
      <c r="F348" s="2">
        <v>2</v>
      </c>
      <c r="G348" s="2">
        <v>1</v>
      </c>
      <c r="H348" s="2">
        <v>2</v>
      </c>
      <c r="I348" s="2">
        <v>1</v>
      </c>
      <c r="J348" s="2">
        <v>1</v>
      </c>
      <c r="K348" s="2">
        <v>2</v>
      </c>
      <c r="L348" s="2" t="b">
        <f t="shared" si="34"/>
        <v>0</v>
      </c>
    </row>
    <row r="349" spans="2:12">
      <c r="B349" s="2">
        <v>1</v>
      </c>
      <c r="C349" s="2">
        <v>1</v>
      </c>
      <c r="D349" s="2">
        <v>1</v>
      </c>
      <c r="E349" s="2">
        <v>1</v>
      </c>
      <c r="F349" s="2">
        <v>2</v>
      </c>
      <c r="G349" s="2">
        <v>1</v>
      </c>
      <c r="H349" s="2">
        <v>2</v>
      </c>
      <c r="I349" s="2">
        <v>1</v>
      </c>
      <c r="J349" s="2">
        <v>1</v>
      </c>
      <c r="K349" s="2">
        <v>2</v>
      </c>
      <c r="L349" s="2" t="b">
        <f t="shared" si="34"/>
        <v>0</v>
      </c>
    </row>
    <row r="350" spans="2:12">
      <c r="B350" s="2">
        <v>1</v>
      </c>
      <c r="C350" s="2">
        <v>1</v>
      </c>
      <c r="D350" s="2">
        <v>1</v>
      </c>
      <c r="E350" s="2">
        <v>1</v>
      </c>
      <c r="F350" s="2">
        <v>2</v>
      </c>
      <c r="G350" s="2">
        <v>1</v>
      </c>
      <c r="H350" s="2">
        <v>2</v>
      </c>
      <c r="I350" s="2">
        <v>1</v>
      </c>
      <c r="J350" s="2">
        <v>1</v>
      </c>
      <c r="K350" s="2">
        <v>2</v>
      </c>
      <c r="L350" s="2" t="b">
        <f t="shared" si="34"/>
        <v>0</v>
      </c>
    </row>
    <row r="351" spans="2:12">
      <c r="B351" s="2">
        <v>1</v>
      </c>
      <c r="C351" s="2">
        <v>1</v>
      </c>
      <c r="D351" s="2">
        <v>1</v>
      </c>
      <c r="E351" s="2">
        <v>1</v>
      </c>
      <c r="F351" s="2">
        <v>2</v>
      </c>
      <c r="G351" s="2">
        <v>1</v>
      </c>
      <c r="H351" s="2">
        <v>3</v>
      </c>
      <c r="I351" s="2">
        <v>1</v>
      </c>
      <c r="J351" s="2">
        <v>1</v>
      </c>
      <c r="K351" s="2">
        <v>2</v>
      </c>
      <c r="L351" s="2" t="b">
        <f t="shared" si="34"/>
        <v>0</v>
      </c>
    </row>
    <row r="352" spans="2:12">
      <c r="B352" s="2">
        <v>5</v>
      </c>
      <c r="C352" s="2">
        <v>1</v>
      </c>
      <c r="D352" s="2">
        <v>2</v>
      </c>
      <c r="E352" s="2">
        <v>1</v>
      </c>
      <c r="F352" s="2">
        <v>2</v>
      </c>
      <c r="G352" s="2">
        <v>1</v>
      </c>
      <c r="H352" s="2">
        <v>2</v>
      </c>
      <c r="I352" s="2">
        <v>1</v>
      </c>
      <c r="J352" s="2">
        <v>1</v>
      </c>
      <c r="K352" s="2">
        <v>2</v>
      </c>
      <c r="L352" s="2" t="b">
        <f t="shared" si="34"/>
        <v>0</v>
      </c>
    </row>
    <row r="353" spans="2:12">
      <c r="B353" s="2">
        <v>3</v>
      </c>
      <c r="C353" s="2">
        <v>1</v>
      </c>
      <c r="D353" s="2">
        <v>1</v>
      </c>
      <c r="E353" s="2">
        <v>1</v>
      </c>
      <c r="F353" s="2">
        <v>2</v>
      </c>
      <c r="G353" s="2">
        <v>1</v>
      </c>
      <c r="H353" s="2">
        <v>1</v>
      </c>
      <c r="I353" s="2">
        <v>1</v>
      </c>
      <c r="J353" s="2">
        <v>1</v>
      </c>
      <c r="K353" s="2">
        <v>2</v>
      </c>
      <c r="L353" s="2" t="b">
        <f t="shared" si="34"/>
        <v>0</v>
      </c>
    </row>
    <row r="354" spans="2:12">
      <c r="B354" s="2">
        <v>5</v>
      </c>
      <c r="C354" s="2">
        <v>1</v>
      </c>
      <c r="D354" s="2">
        <v>1</v>
      </c>
      <c r="E354" s="2">
        <v>6</v>
      </c>
      <c r="F354" s="2">
        <v>3</v>
      </c>
      <c r="G354" s="2">
        <v>1</v>
      </c>
      <c r="H354" s="2">
        <v>1</v>
      </c>
      <c r="I354" s="2">
        <v>1</v>
      </c>
      <c r="J354" s="2">
        <v>1</v>
      </c>
      <c r="K354" s="2">
        <v>2</v>
      </c>
      <c r="L354" s="2" t="b">
        <f t="shared" si="34"/>
        <v>0</v>
      </c>
    </row>
    <row r="355" spans="2:12">
      <c r="B355" s="2">
        <v>1</v>
      </c>
      <c r="C355" s="2">
        <v>1</v>
      </c>
      <c r="D355" s="2">
        <v>1</v>
      </c>
      <c r="E355" s="2">
        <v>1</v>
      </c>
      <c r="F355" s="2">
        <v>2</v>
      </c>
      <c r="G355" s="2">
        <v>1</v>
      </c>
      <c r="H355" s="2">
        <v>1</v>
      </c>
      <c r="I355" s="2">
        <v>1</v>
      </c>
      <c r="J355" s="2">
        <v>1</v>
      </c>
      <c r="K355" s="2">
        <v>2</v>
      </c>
      <c r="L355" s="2" t="b">
        <f t="shared" si="34"/>
        <v>0</v>
      </c>
    </row>
    <row r="356" spans="2:12">
      <c r="B356" s="2">
        <v>5</v>
      </c>
      <c r="C356" s="2">
        <v>1</v>
      </c>
      <c r="D356" s="2">
        <v>1</v>
      </c>
      <c r="E356" s="2">
        <v>1</v>
      </c>
      <c r="F356" s="2">
        <v>2</v>
      </c>
      <c r="G356" s="2">
        <v>1</v>
      </c>
      <c r="H356" s="2">
        <v>2</v>
      </c>
      <c r="I356" s="2">
        <v>2</v>
      </c>
      <c r="J356" s="2">
        <v>1</v>
      </c>
      <c r="K356" s="2">
        <v>2</v>
      </c>
      <c r="L356" s="2" t="b">
        <f t="shared" si="34"/>
        <v>0</v>
      </c>
    </row>
    <row r="357" spans="2:12">
      <c r="B357" s="2">
        <v>5</v>
      </c>
      <c r="C357" s="2">
        <v>1</v>
      </c>
      <c r="D357" s="2">
        <v>1</v>
      </c>
      <c r="E357" s="2">
        <v>1</v>
      </c>
      <c r="F357" s="2">
        <v>2</v>
      </c>
      <c r="G357" s="2">
        <v>1</v>
      </c>
      <c r="H357" s="2">
        <v>1</v>
      </c>
      <c r="I357" s="2">
        <v>1</v>
      </c>
      <c r="J357" s="2">
        <v>1</v>
      </c>
      <c r="K357" s="2">
        <v>2</v>
      </c>
      <c r="L357" s="2" t="b">
        <f t="shared" si="34"/>
        <v>0</v>
      </c>
    </row>
    <row r="358" spans="2:12">
      <c r="B358" s="2">
        <v>5</v>
      </c>
      <c r="C358" s="2">
        <v>1</v>
      </c>
      <c r="D358" s="2">
        <v>2</v>
      </c>
      <c r="E358" s="2">
        <v>1</v>
      </c>
      <c r="F358" s="2">
        <v>2</v>
      </c>
      <c r="G358" s="2">
        <v>1</v>
      </c>
      <c r="H358" s="2">
        <v>1</v>
      </c>
      <c r="I358" s="2">
        <v>1</v>
      </c>
      <c r="J358" s="2">
        <v>1</v>
      </c>
      <c r="K358" s="2">
        <v>2</v>
      </c>
      <c r="L358" s="2" t="b">
        <f t="shared" si="34"/>
        <v>0</v>
      </c>
    </row>
    <row r="359" spans="2:12">
      <c r="B359" s="2">
        <v>5</v>
      </c>
      <c r="C359" s="2">
        <v>1</v>
      </c>
      <c r="D359" s="2">
        <v>1</v>
      </c>
      <c r="E359" s="2">
        <v>1</v>
      </c>
      <c r="F359" s="2">
        <v>2</v>
      </c>
      <c r="G359" s="2">
        <v>1</v>
      </c>
      <c r="H359" s="2">
        <v>2</v>
      </c>
      <c r="I359" s="2">
        <v>1</v>
      </c>
      <c r="J359" s="2">
        <v>1</v>
      </c>
      <c r="K359" s="2">
        <v>2</v>
      </c>
      <c r="L359" s="2" t="b">
        <f t="shared" si="34"/>
        <v>0</v>
      </c>
    </row>
    <row r="360" spans="2:12">
      <c r="B360" s="2">
        <v>4</v>
      </c>
      <c r="C360" s="2">
        <v>1</v>
      </c>
      <c r="D360" s="2">
        <v>2</v>
      </c>
      <c r="E360" s="2">
        <v>1</v>
      </c>
      <c r="F360" s="2">
        <v>2</v>
      </c>
      <c r="G360" s="2">
        <v>1</v>
      </c>
      <c r="H360" s="2">
        <v>2</v>
      </c>
      <c r="I360" s="2">
        <v>1</v>
      </c>
      <c r="J360" s="2">
        <v>1</v>
      </c>
      <c r="K360" s="2">
        <v>2</v>
      </c>
      <c r="L360" s="2" t="b">
        <f t="shared" si="34"/>
        <v>0</v>
      </c>
    </row>
    <row r="361" spans="2:12">
      <c r="B361" s="2">
        <v>5</v>
      </c>
      <c r="C361" s="2">
        <v>1</v>
      </c>
      <c r="D361" s="2">
        <v>3</v>
      </c>
      <c r="E361" s="2">
        <v>1</v>
      </c>
      <c r="F361" s="2">
        <v>2</v>
      </c>
      <c r="G361" s="2">
        <v>1</v>
      </c>
      <c r="H361" s="2">
        <v>3</v>
      </c>
      <c r="I361" s="2">
        <v>1</v>
      </c>
      <c r="J361" s="2">
        <v>1</v>
      </c>
      <c r="K361" s="2">
        <v>2</v>
      </c>
      <c r="L361" s="2" t="b">
        <f t="shared" si="34"/>
        <v>0</v>
      </c>
    </row>
    <row r="362" spans="2:12">
      <c r="B362" s="2">
        <v>3</v>
      </c>
      <c r="C362" s="2">
        <v>1</v>
      </c>
      <c r="D362" s="2">
        <v>1</v>
      </c>
      <c r="E362" s="2">
        <v>1</v>
      </c>
      <c r="F362" s="2">
        <v>2</v>
      </c>
      <c r="G362" s="2">
        <v>1</v>
      </c>
      <c r="H362" s="2">
        <v>2</v>
      </c>
      <c r="I362" s="2">
        <v>1</v>
      </c>
      <c r="J362" s="2">
        <v>1</v>
      </c>
      <c r="K362" s="2">
        <v>2</v>
      </c>
      <c r="L362" s="2" t="b">
        <f t="shared" si="34"/>
        <v>0</v>
      </c>
    </row>
    <row r="363" spans="2:12">
      <c r="B363" s="2">
        <v>3</v>
      </c>
      <c r="C363" s="2">
        <v>1</v>
      </c>
      <c r="D363" s="2">
        <v>1</v>
      </c>
      <c r="E363" s="2">
        <v>1</v>
      </c>
      <c r="F363" s="2">
        <v>2</v>
      </c>
      <c r="G363" s="2">
        <v>1</v>
      </c>
      <c r="H363" s="2">
        <v>2</v>
      </c>
      <c r="I363" s="2">
        <v>1</v>
      </c>
      <c r="J363" s="2">
        <v>1</v>
      </c>
      <c r="K363" s="2">
        <v>2</v>
      </c>
      <c r="L363" s="2" t="b">
        <f t="shared" si="34"/>
        <v>0</v>
      </c>
    </row>
    <row r="364" spans="2:12">
      <c r="B364" s="2">
        <v>1</v>
      </c>
      <c r="C364" s="2">
        <v>1</v>
      </c>
      <c r="D364" s="2">
        <v>1</v>
      </c>
      <c r="E364" s="2">
        <v>1</v>
      </c>
      <c r="F364" s="2">
        <v>1</v>
      </c>
      <c r="G364" s="2">
        <v>1</v>
      </c>
      <c r="H364" s="2">
        <v>2</v>
      </c>
      <c r="I364" s="2">
        <v>1</v>
      </c>
      <c r="J364" s="2">
        <v>1</v>
      </c>
      <c r="K364" s="2">
        <v>2</v>
      </c>
      <c r="L364" s="2" t="b">
        <f t="shared" si="34"/>
        <v>0</v>
      </c>
    </row>
    <row r="365" spans="2:12">
      <c r="B365" s="2">
        <v>4</v>
      </c>
      <c r="C365" s="2">
        <v>1</v>
      </c>
      <c r="D365" s="2">
        <v>1</v>
      </c>
      <c r="E365" s="2">
        <v>1</v>
      </c>
      <c r="F365" s="2">
        <v>2</v>
      </c>
      <c r="G365" s="2">
        <v>1</v>
      </c>
      <c r="H365" s="2">
        <v>2</v>
      </c>
      <c r="I365" s="2">
        <v>1</v>
      </c>
      <c r="J365" s="2">
        <v>1</v>
      </c>
      <c r="K365" s="2">
        <v>2</v>
      </c>
      <c r="L365" s="2" t="b">
        <f t="shared" si="34"/>
        <v>0</v>
      </c>
    </row>
    <row r="366" spans="2:12">
      <c r="B366" s="2">
        <v>4</v>
      </c>
      <c r="C366" s="2">
        <v>1</v>
      </c>
      <c r="D366" s="2">
        <v>1</v>
      </c>
      <c r="E366" s="2">
        <v>2</v>
      </c>
      <c r="F366" s="2">
        <v>2</v>
      </c>
      <c r="G366" s="2">
        <v>1</v>
      </c>
      <c r="H366" s="2">
        <v>1</v>
      </c>
      <c r="I366" s="2">
        <v>1</v>
      </c>
      <c r="J366" s="2">
        <v>1</v>
      </c>
      <c r="K366" s="2">
        <v>2</v>
      </c>
      <c r="L366" s="2" t="b">
        <f t="shared" si="34"/>
        <v>0</v>
      </c>
    </row>
    <row r="367" spans="2:12">
      <c r="B367" s="2">
        <v>1</v>
      </c>
      <c r="C367" s="2">
        <v>1</v>
      </c>
      <c r="D367" s="2">
        <v>1</v>
      </c>
      <c r="E367" s="2">
        <v>1</v>
      </c>
      <c r="F367" s="2">
        <v>2</v>
      </c>
      <c r="G367" s="2">
        <v>1</v>
      </c>
      <c r="H367" s="2">
        <v>1</v>
      </c>
      <c r="I367" s="2">
        <v>1</v>
      </c>
      <c r="J367" s="2">
        <v>1</v>
      </c>
      <c r="K367" s="2">
        <v>2</v>
      </c>
      <c r="L367" s="2" t="b">
        <f t="shared" si="34"/>
        <v>0</v>
      </c>
    </row>
    <row r="368" spans="2:12">
      <c r="B368" s="2">
        <v>5</v>
      </c>
      <c r="C368" s="2">
        <v>1</v>
      </c>
      <c r="D368" s="2">
        <v>1</v>
      </c>
      <c r="E368" s="2">
        <v>1</v>
      </c>
      <c r="F368" s="2">
        <v>2</v>
      </c>
      <c r="G368" s="2">
        <v>1</v>
      </c>
      <c r="H368" s="2">
        <v>1</v>
      </c>
      <c r="I368" s="2">
        <v>1</v>
      </c>
      <c r="J368" s="2">
        <v>1</v>
      </c>
      <c r="K368" s="2">
        <v>2</v>
      </c>
      <c r="L368" s="2" t="b">
        <f t="shared" si="34"/>
        <v>0</v>
      </c>
    </row>
    <row r="369" spans="2:12">
      <c r="B369" s="2">
        <v>2</v>
      </c>
      <c r="C369" s="2">
        <v>1</v>
      </c>
      <c r="D369" s="2">
        <v>1</v>
      </c>
      <c r="E369" s="2">
        <v>1</v>
      </c>
      <c r="F369" s="2">
        <v>1</v>
      </c>
      <c r="G369" s="2">
        <v>1</v>
      </c>
      <c r="H369" s="2">
        <v>2</v>
      </c>
      <c r="I369" s="2">
        <v>1</v>
      </c>
      <c r="J369" s="2">
        <v>1</v>
      </c>
      <c r="K369" s="2">
        <v>2</v>
      </c>
      <c r="L369" s="2" t="b">
        <f t="shared" si="34"/>
        <v>0</v>
      </c>
    </row>
    <row r="370" spans="2:12">
      <c r="B370" s="2">
        <v>4</v>
      </c>
      <c r="C370" s="2">
        <v>1</v>
      </c>
      <c r="D370" s="2">
        <v>3</v>
      </c>
      <c r="E370" s="2">
        <v>1</v>
      </c>
      <c r="F370" s="2">
        <v>2</v>
      </c>
      <c r="G370" s="2">
        <v>1</v>
      </c>
      <c r="H370" s="2">
        <v>2</v>
      </c>
      <c r="I370" s="2">
        <v>1</v>
      </c>
      <c r="J370" s="2">
        <v>1</v>
      </c>
      <c r="K370" s="2">
        <v>2</v>
      </c>
      <c r="L370" s="2" t="b">
        <f t="shared" si="34"/>
        <v>0</v>
      </c>
    </row>
    <row r="371" spans="2:12">
      <c r="B371" s="2">
        <v>3</v>
      </c>
      <c r="C371" s="2">
        <v>1</v>
      </c>
      <c r="D371" s="2">
        <v>1</v>
      </c>
      <c r="E371" s="2">
        <v>1</v>
      </c>
      <c r="F371" s="2">
        <v>2</v>
      </c>
      <c r="G371" s="2">
        <v>1</v>
      </c>
      <c r="H371" s="2">
        <v>2</v>
      </c>
      <c r="I371" s="2">
        <v>1</v>
      </c>
      <c r="J371" s="2">
        <v>1</v>
      </c>
      <c r="K371" s="2">
        <v>2</v>
      </c>
      <c r="L371" s="2" t="b">
        <f t="shared" si="34"/>
        <v>0</v>
      </c>
    </row>
    <row r="372" spans="2:12">
      <c r="B372" s="2">
        <v>4</v>
      </c>
      <c r="C372" s="2">
        <v>1</v>
      </c>
      <c r="D372" s="2">
        <v>1</v>
      </c>
      <c r="E372" s="2">
        <v>1</v>
      </c>
      <c r="F372" s="2">
        <v>2</v>
      </c>
      <c r="G372" s="2">
        <v>1</v>
      </c>
      <c r="H372" s="2">
        <v>2</v>
      </c>
      <c r="I372" s="2">
        <v>1</v>
      </c>
      <c r="J372" s="2">
        <v>1</v>
      </c>
      <c r="K372" s="2">
        <v>2</v>
      </c>
      <c r="L372" s="2" t="b">
        <f t="shared" si="34"/>
        <v>0</v>
      </c>
    </row>
    <row r="373" spans="2:12">
      <c r="B373" s="2">
        <v>5</v>
      </c>
      <c r="C373" s="2">
        <v>1</v>
      </c>
      <c r="D373" s="2">
        <v>1</v>
      </c>
      <c r="E373" s="2">
        <v>1</v>
      </c>
      <c r="F373" s="2">
        <v>2</v>
      </c>
      <c r="G373" s="2">
        <v>1</v>
      </c>
      <c r="H373" s="2">
        <v>2</v>
      </c>
      <c r="I373" s="2">
        <v>1</v>
      </c>
      <c r="J373" s="2">
        <v>1</v>
      </c>
      <c r="K373" s="2">
        <v>2</v>
      </c>
      <c r="L373" s="2" t="b">
        <f t="shared" si="34"/>
        <v>0</v>
      </c>
    </row>
    <row r="374" spans="2:12">
      <c r="B374" s="2">
        <v>3</v>
      </c>
      <c r="C374" s="2">
        <v>1</v>
      </c>
      <c r="D374" s="2">
        <v>1</v>
      </c>
      <c r="E374" s="2">
        <v>1</v>
      </c>
      <c r="F374" s="2">
        <v>2</v>
      </c>
      <c r="G374" s="2">
        <v>1</v>
      </c>
      <c r="H374" s="2">
        <v>2</v>
      </c>
      <c r="I374" s="2">
        <v>1</v>
      </c>
      <c r="J374" s="2">
        <v>1</v>
      </c>
      <c r="K374" s="2">
        <v>2</v>
      </c>
      <c r="L374" s="2" t="b">
        <f t="shared" si="34"/>
        <v>0</v>
      </c>
    </row>
    <row r="375" spans="2:12">
      <c r="B375" s="2">
        <v>7</v>
      </c>
      <c r="C375" s="2">
        <v>1</v>
      </c>
      <c r="D375" s="2">
        <v>2</v>
      </c>
      <c r="E375" s="2">
        <v>3</v>
      </c>
      <c r="F375" s="2">
        <v>2</v>
      </c>
      <c r="G375" s="2">
        <v>1</v>
      </c>
      <c r="H375" s="2">
        <v>2</v>
      </c>
      <c r="I375" s="2">
        <v>1</v>
      </c>
      <c r="J375" s="2">
        <v>1</v>
      </c>
      <c r="K375" s="2">
        <v>2</v>
      </c>
      <c r="L375" s="2" t="b">
        <f t="shared" si="34"/>
        <v>0</v>
      </c>
    </row>
    <row r="376" spans="2:12">
      <c r="B376" s="2">
        <v>1</v>
      </c>
      <c r="C376" s="2">
        <v>1</v>
      </c>
      <c r="D376" s="2">
        <v>1</v>
      </c>
      <c r="E376" s="2">
        <v>1</v>
      </c>
      <c r="F376" s="2">
        <v>2</v>
      </c>
      <c r="G376" s="2">
        <v>1</v>
      </c>
      <c r="H376" s="2">
        <v>1</v>
      </c>
      <c r="I376" s="2">
        <v>1</v>
      </c>
      <c r="J376" s="2">
        <v>1</v>
      </c>
      <c r="K376" s="2">
        <v>2</v>
      </c>
      <c r="L376" s="2" t="b">
        <f t="shared" si="34"/>
        <v>0</v>
      </c>
    </row>
    <row r="377" spans="2:12">
      <c r="B377" s="2">
        <v>5</v>
      </c>
      <c r="C377" s="2">
        <v>1</v>
      </c>
      <c r="D377" s="2">
        <v>1</v>
      </c>
      <c r="E377" s="2">
        <v>2</v>
      </c>
      <c r="F377" s="2">
        <v>1</v>
      </c>
      <c r="G377" s="2">
        <v>1</v>
      </c>
      <c r="H377" s="2">
        <v>2</v>
      </c>
      <c r="I377" s="2">
        <v>1</v>
      </c>
      <c r="J377" s="2">
        <v>1</v>
      </c>
      <c r="K377" s="2">
        <v>2</v>
      </c>
      <c r="L377" s="2" t="b">
        <f t="shared" si="34"/>
        <v>0</v>
      </c>
    </row>
    <row r="378" spans="2:12">
      <c r="B378" s="2">
        <v>2</v>
      </c>
      <c r="C378" s="2">
        <v>1</v>
      </c>
      <c r="D378" s="2">
        <v>1</v>
      </c>
      <c r="E378" s="2">
        <v>1</v>
      </c>
      <c r="F378" s="2">
        <v>2</v>
      </c>
      <c r="G378" s="2">
        <v>1</v>
      </c>
      <c r="H378" s="2">
        <v>1</v>
      </c>
      <c r="I378" s="2">
        <v>1</v>
      </c>
      <c r="J378" s="2">
        <v>1</v>
      </c>
      <c r="K378" s="2">
        <v>2</v>
      </c>
      <c r="L378" s="2" t="b">
        <f t="shared" si="34"/>
        <v>0</v>
      </c>
    </row>
    <row r="379" spans="2:12">
      <c r="B379" s="2">
        <v>4</v>
      </c>
      <c r="C379" s="2">
        <v>1</v>
      </c>
      <c r="D379" s="2">
        <v>1</v>
      </c>
      <c r="E379" s="2">
        <v>1</v>
      </c>
      <c r="F379" s="2">
        <v>2</v>
      </c>
      <c r="G379" s="2">
        <v>1</v>
      </c>
      <c r="H379" s="2">
        <v>1</v>
      </c>
      <c r="I379" s="2">
        <v>1</v>
      </c>
      <c r="J379" s="2">
        <v>1</v>
      </c>
      <c r="K379" s="2">
        <v>2</v>
      </c>
      <c r="L379" s="2" t="b">
        <f t="shared" si="34"/>
        <v>0</v>
      </c>
    </row>
    <row r="380" spans="2:12">
      <c r="B380" s="2">
        <v>5</v>
      </c>
      <c r="C380" s="2">
        <v>1</v>
      </c>
      <c r="D380" s="2">
        <v>1</v>
      </c>
      <c r="E380" s="2">
        <v>1</v>
      </c>
      <c r="F380" s="2">
        <v>2</v>
      </c>
      <c r="G380" s="2">
        <v>1</v>
      </c>
      <c r="H380" s="2">
        <v>2</v>
      </c>
      <c r="I380" s="2">
        <v>1</v>
      </c>
      <c r="J380" s="2">
        <v>1</v>
      </c>
      <c r="K380" s="2">
        <v>2</v>
      </c>
      <c r="L380" s="2" t="b">
        <f t="shared" si="34"/>
        <v>0</v>
      </c>
    </row>
    <row r="381" spans="2:12">
      <c r="B381" s="2">
        <v>1</v>
      </c>
      <c r="C381" s="2">
        <v>1</v>
      </c>
      <c r="D381" s="2">
        <v>1</v>
      </c>
      <c r="E381" s="2">
        <v>1</v>
      </c>
      <c r="F381" s="2">
        <v>2</v>
      </c>
      <c r="G381" s="2">
        <v>1</v>
      </c>
      <c r="H381" s="2">
        <v>1</v>
      </c>
      <c r="I381" s="2">
        <v>1</v>
      </c>
      <c r="J381" s="2">
        <v>1</v>
      </c>
      <c r="K381" s="2">
        <v>2</v>
      </c>
      <c r="L381" s="2" t="b">
        <f t="shared" si="34"/>
        <v>0</v>
      </c>
    </row>
    <row r="382" spans="2:12">
      <c r="B382" s="2">
        <v>3</v>
      </c>
      <c r="C382" s="2">
        <v>1</v>
      </c>
      <c r="D382" s="2">
        <v>1</v>
      </c>
      <c r="E382" s="2">
        <v>1</v>
      </c>
      <c r="F382" s="2">
        <v>2</v>
      </c>
      <c r="G382" s="2">
        <v>1</v>
      </c>
      <c r="H382" s="2">
        <v>1</v>
      </c>
      <c r="I382" s="2">
        <v>1</v>
      </c>
      <c r="J382" s="2">
        <v>1</v>
      </c>
      <c r="K382" s="2">
        <v>2</v>
      </c>
      <c r="L382" s="2" t="b">
        <f t="shared" si="34"/>
        <v>0</v>
      </c>
    </row>
    <row r="383" spans="2:12">
      <c r="B383" s="2">
        <v>3</v>
      </c>
      <c r="C383" s="2">
        <v>1</v>
      </c>
      <c r="D383" s="2">
        <v>4</v>
      </c>
      <c r="E383" s="2">
        <v>1</v>
      </c>
      <c r="F383" s="2">
        <v>2</v>
      </c>
      <c r="G383" s="2">
        <v>1</v>
      </c>
      <c r="H383" s="2">
        <v>1</v>
      </c>
      <c r="I383" s="2">
        <v>1</v>
      </c>
      <c r="J383" s="2">
        <v>1</v>
      </c>
      <c r="K383" s="2">
        <v>2</v>
      </c>
      <c r="L383" s="2" t="b">
        <f t="shared" si="34"/>
        <v>0</v>
      </c>
    </row>
    <row r="384" spans="2:12">
      <c r="B384" s="2">
        <v>4</v>
      </c>
      <c r="C384" s="2">
        <v>1</v>
      </c>
      <c r="D384" s="2">
        <v>1</v>
      </c>
      <c r="E384" s="2">
        <v>1</v>
      </c>
      <c r="F384" s="2">
        <v>2</v>
      </c>
      <c r="G384" s="2">
        <v>1</v>
      </c>
      <c r="H384" s="2">
        <v>1</v>
      </c>
      <c r="I384" s="2">
        <v>1</v>
      </c>
      <c r="J384" s="2">
        <v>1</v>
      </c>
      <c r="K384" s="2">
        <v>2</v>
      </c>
      <c r="L384" s="2" t="b">
        <f t="shared" si="34"/>
        <v>0</v>
      </c>
    </row>
    <row r="385" spans="2:12">
      <c r="B385" s="2">
        <v>5</v>
      </c>
      <c r="C385" s="2">
        <v>1</v>
      </c>
      <c r="D385" s="2">
        <v>1</v>
      </c>
      <c r="E385" s="2">
        <v>3</v>
      </c>
      <c r="F385" s="2">
        <v>2</v>
      </c>
      <c r="G385" s="2">
        <v>1</v>
      </c>
      <c r="H385" s="2">
        <v>1</v>
      </c>
      <c r="I385" s="2">
        <v>1</v>
      </c>
      <c r="J385" s="2">
        <v>1</v>
      </c>
      <c r="K385" s="2">
        <v>2</v>
      </c>
      <c r="L385" s="2" t="b">
        <f t="shared" si="34"/>
        <v>0</v>
      </c>
    </row>
    <row r="386" spans="2:12">
      <c r="B386" s="2">
        <v>4</v>
      </c>
      <c r="C386" s="2">
        <v>1</v>
      </c>
      <c r="D386" s="2">
        <v>1</v>
      </c>
      <c r="E386" s="2">
        <v>3</v>
      </c>
      <c r="F386" s="2">
        <v>2</v>
      </c>
      <c r="G386" s="2">
        <v>1</v>
      </c>
      <c r="H386" s="2">
        <v>1</v>
      </c>
      <c r="I386" s="2">
        <v>1</v>
      </c>
      <c r="J386" s="2">
        <v>1</v>
      </c>
      <c r="K386" s="2">
        <v>2</v>
      </c>
      <c r="L386" s="2" t="b">
        <f t="shared" si="34"/>
        <v>0</v>
      </c>
    </row>
    <row r="387" spans="2:12">
      <c r="B387" s="2">
        <v>3</v>
      </c>
      <c r="C387" s="2">
        <v>1</v>
      </c>
      <c r="D387" s="2">
        <v>1</v>
      </c>
      <c r="E387" s="2">
        <v>1</v>
      </c>
      <c r="F387" s="2">
        <v>2</v>
      </c>
      <c r="G387" s="2">
        <v>1</v>
      </c>
      <c r="H387" s="2">
        <v>2</v>
      </c>
      <c r="I387" s="2">
        <v>1</v>
      </c>
      <c r="J387" s="2">
        <v>1</v>
      </c>
      <c r="K387" s="2">
        <v>2</v>
      </c>
      <c r="L387" s="2" t="b">
        <f t="shared" si="34"/>
        <v>0</v>
      </c>
    </row>
    <row r="388" spans="2:12">
      <c r="B388" s="2">
        <v>3</v>
      </c>
      <c r="C388" s="2">
        <v>1</v>
      </c>
      <c r="D388" s="2">
        <v>1</v>
      </c>
      <c r="E388" s="2">
        <v>1</v>
      </c>
      <c r="F388" s="2">
        <v>2</v>
      </c>
      <c r="G388" s="2">
        <v>1</v>
      </c>
      <c r="H388" s="2">
        <v>2</v>
      </c>
      <c r="I388" s="2">
        <v>1</v>
      </c>
      <c r="J388" s="2">
        <v>1</v>
      </c>
      <c r="K388" s="2">
        <v>2</v>
      </c>
      <c r="L388" s="2" t="b">
        <f t="shared" si="34"/>
        <v>0</v>
      </c>
    </row>
    <row r="389" spans="2:12">
      <c r="B389" s="2">
        <v>1</v>
      </c>
      <c r="C389" s="2">
        <v>1</v>
      </c>
      <c r="D389" s="2">
        <v>1</v>
      </c>
      <c r="E389" s="2">
        <v>1</v>
      </c>
      <c r="F389" s="2">
        <v>2</v>
      </c>
      <c r="G389" s="2">
        <v>1</v>
      </c>
      <c r="H389" s="2">
        <v>1</v>
      </c>
      <c r="I389" s="2">
        <v>1</v>
      </c>
      <c r="J389" s="2">
        <v>1</v>
      </c>
      <c r="K389" s="2">
        <v>2</v>
      </c>
      <c r="L389" s="2" t="b">
        <f t="shared" si="34"/>
        <v>0</v>
      </c>
    </row>
    <row r="390" spans="2:12">
      <c r="B390" s="2">
        <v>2</v>
      </c>
      <c r="C390" s="2">
        <v>1</v>
      </c>
      <c r="D390" s="2">
        <v>1</v>
      </c>
      <c r="E390" s="2">
        <v>1</v>
      </c>
      <c r="F390" s="2">
        <v>2</v>
      </c>
      <c r="G390" s="2">
        <v>1</v>
      </c>
      <c r="H390" s="2">
        <v>1</v>
      </c>
      <c r="I390" s="2">
        <v>1</v>
      </c>
      <c r="J390" s="2">
        <v>1</v>
      </c>
      <c r="K390" s="2">
        <v>2</v>
      </c>
      <c r="L390" s="2" t="b">
        <f t="shared" si="34"/>
        <v>0</v>
      </c>
    </row>
    <row r="391" spans="2:12">
      <c r="B391" s="2">
        <v>3</v>
      </c>
      <c r="C391" s="2">
        <v>1</v>
      </c>
      <c r="D391" s="2">
        <v>1</v>
      </c>
      <c r="E391" s="2">
        <v>1</v>
      </c>
      <c r="F391" s="2">
        <v>2</v>
      </c>
      <c r="G391" s="2">
        <v>1</v>
      </c>
      <c r="H391" s="2">
        <v>2</v>
      </c>
      <c r="I391" s="2">
        <v>1</v>
      </c>
      <c r="J391" s="2">
        <v>1</v>
      </c>
      <c r="K391" s="2">
        <v>2</v>
      </c>
      <c r="L391" s="2" t="b">
        <f t="shared" si="34"/>
        <v>0</v>
      </c>
    </row>
    <row r="392" spans="2:12">
      <c r="B392" s="2">
        <v>1</v>
      </c>
      <c r="C392" s="2">
        <v>1</v>
      </c>
      <c r="D392" s="2">
        <v>1</v>
      </c>
      <c r="E392" s="2">
        <v>3</v>
      </c>
      <c r="F392" s="2">
        <v>2</v>
      </c>
      <c r="G392" s="2">
        <v>1</v>
      </c>
      <c r="H392" s="2">
        <v>1</v>
      </c>
      <c r="I392" s="2">
        <v>1</v>
      </c>
      <c r="J392" s="2">
        <v>1</v>
      </c>
      <c r="K392" s="2">
        <v>2</v>
      </c>
      <c r="L392" s="2" t="b">
        <f t="shared" si="34"/>
        <v>0</v>
      </c>
    </row>
    <row r="393" spans="2:12">
      <c r="B393" s="2">
        <v>3</v>
      </c>
      <c r="C393" s="2">
        <v>1</v>
      </c>
      <c r="D393" s="2">
        <v>1</v>
      </c>
      <c r="E393" s="2">
        <v>1</v>
      </c>
      <c r="F393" s="2">
        <v>2</v>
      </c>
      <c r="G393" s="2">
        <v>1</v>
      </c>
      <c r="H393" s="2">
        <v>2</v>
      </c>
      <c r="I393" s="2">
        <v>1</v>
      </c>
      <c r="J393" s="2">
        <v>1</v>
      </c>
      <c r="K393" s="2">
        <v>2</v>
      </c>
      <c r="L393" s="2" t="b">
        <f t="shared" si="34"/>
        <v>0</v>
      </c>
    </row>
    <row r="394" spans="2:12">
      <c r="B394" s="2">
        <v>5</v>
      </c>
      <c r="C394" s="2">
        <v>1</v>
      </c>
      <c r="D394" s="2">
        <v>1</v>
      </c>
      <c r="E394" s="2">
        <v>1</v>
      </c>
      <c r="F394" s="2">
        <v>2</v>
      </c>
      <c r="G394" s="2">
        <v>1</v>
      </c>
      <c r="H394" s="2">
        <v>2</v>
      </c>
      <c r="I394" s="2">
        <v>2</v>
      </c>
      <c r="J394" s="2">
        <v>1</v>
      </c>
      <c r="K394" s="2">
        <v>2</v>
      </c>
      <c r="L394" s="2" t="b">
        <f t="shared" si="34"/>
        <v>0</v>
      </c>
    </row>
    <row r="395" spans="2:12">
      <c r="B395" s="2">
        <v>4</v>
      </c>
      <c r="C395" s="2">
        <v>1</v>
      </c>
      <c r="D395" s="2">
        <v>1</v>
      </c>
      <c r="E395" s="2">
        <v>1</v>
      </c>
      <c r="F395" s="2">
        <v>2</v>
      </c>
      <c r="G395" s="2">
        <v>1</v>
      </c>
      <c r="H395" s="2">
        <v>2</v>
      </c>
      <c r="I395" s="2">
        <v>1</v>
      </c>
      <c r="J395" s="2">
        <v>1</v>
      </c>
      <c r="K395" s="2">
        <v>2</v>
      </c>
      <c r="L395" s="2" t="b">
        <f t="shared" si="34"/>
        <v>0</v>
      </c>
    </row>
    <row r="396" spans="2:12">
      <c r="B396" s="2">
        <v>3</v>
      </c>
      <c r="C396" s="2">
        <v>1</v>
      </c>
      <c r="D396" s="2">
        <v>1</v>
      </c>
      <c r="E396" s="2">
        <v>1</v>
      </c>
      <c r="F396" s="2">
        <v>2</v>
      </c>
      <c r="G396" s="2">
        <v>1</v>
      </c>
      <c r="H396" s="2">
        <v>3</v>
      </c>
      <c r="I396" s="2">
        <v>1</v>
      </c>
      <c r="J396" s="2">
        <v>1</v>
      </c>
      <c r="K396" s="2">
        <v>2</v>
      </c>
      <c r="L396" s="2" t="b">
        <f t="shared" si="34"/>
        <v>0</v>
      </c>
    </row>
    <row r="397" spans="2:12">
      <c r="B397" s="2">
        <v>3</v>
      </c>
      <c r="C397" s="2">
        <v>1</v>
      </c>
      <c r="D397" s="2">
        <v>1</v>
      </c>
      <c r="E397" s="2">
        <v>1</v>
      </c>
      <c r="F397" s="2">
        <v>2</v>
      </c>
      <c r="G397" s="2">
        <v>1</v>
      </c>
      <c r="H397" s="2">
        <v>2</v>
      </c>
      <c r="I397" s="2">
        <v>1</v>
      </c>
      <c r="J397" s="2">
        <v>1</v>
      </c>
      <c r="K397" s="2">
        <v>2</v>
      </c>
      <c r="L397" s="2" t="b">
        <f t="shared" si="34"/>
        <v>0</v>
      </c>
    </row>
    <row r="398" spans="2:12">
      <c r="B398" s="2">
        <v>5</v>
      </c>
      <c r="C398" s="2">
        <v>1</v>
      </c>
      <c r="D398" s="2">
        <v>1</v>
      </c>
      <c r="E398" s="2">
        <v>1</v>
      </c>
      <c r="F398" s="2">
        <v>2</v>
      </c>
      <c r="G398" s="2">
        <v>1</v>
      </c>
      <c r="H398" s="2">
        <v>2</v>
      </c>
      <c r="I398" s="2">
        <v>1</v>
      </c>
      <c r="J398" s="2">
        <v>1</v>
      </c>
      <c r="K398" s="2">
        <v>2</v>
      </c>
      <c r="L398" s="2" t="b">
        <f t="shared" si="34"/>
        <v>0</v>
      </c>
    </row>
    <row r="399" spans="2:12">
      <c r="B399" s="2">
        <v>1</v>
      </c>
      <c r="C399" s="2">
        <v>1</v>
      </c>
      <c r="D399" s="2">
        <v>1</v>
      </c>
      <c r="E399" s="2">
        <v>1</v>
      </c>
      <c r="F399" s="2">
        <v>2</v>
      </c>
      <c r="G399" s="2">
        <v>1</v>
      </c>
      <c r="H399" s="2">
        <v>1</v>
      </c>
      <c r="I399" s="2">
        <v>1</v>
      </c>
      <c r="J399" s="2">
        <v>1</v>
      </c>
      <c r="K399" s="2">
        <v>2</v>
      </c>
      <c r="L399" s="2" t="b">
        <f t="shared" si="34"/>
        <v>0</v>
      </c>
    </row>
    <row r="400" spans="2:12">
      <c r="B400" s="2">
        <v>1</v>
      </c>
      <c r="C400" s="2">
        <v>1</v>
      </c>
      <c r="D400" s="2">
        <v>1</v>
      </c>
      <c r="E400" s="2">
        <v>1</v>
      </c>
      <c r="F400" s="2">
        <v>2</v>
      </c>
      <c r="G400" s="2">
        <v>1</v>
      </c>
      <c r="H400" s="2">
        <v>2</v>
      </c>
      <c r="I400" s="2">
        <v>1</v>
      </c>
      <c r="J400" s="2">
        <v>1</v>
      </c>
      <c r="K400" s="2">
        <v>2</v>
      </c>
      <c r="L400" s="2" t="b">
        <f t="shared" si="34"/>
        <v>0</v>
      </c>
    </row>
    <row r="401" spans="2:12">
      <c r="B401" s="2">
        <v>4</v>
      </c>
      <c r="C401" s="2">
        <v>1</v>
      </c>
      <c r="D401" s="2">
        <v>1</v>
      </c>
      <c r="E401" s="2">
        <v>1</v>
      </c>
      <c r="F401" s="2">
        <v>2</v>
      </c>
      <c r="G401" s="2">
        <v>1</v>
      </c>
      <c r="H401" s="2">
        <v>3</v>
      </c>
      <c r="I401" s="2">
        <v>1</v>
      </c>
      <c r="J401" s="2">
        <v>1</v>
      </c>
      <c r="K401" s="2">
        <v>2</v>
      </c>
      <c r="L401" s="2" t="b">
        <f t="shared" si="34"/>
        <v>0</v>
      </c>
    </row>
    <row r="402" spans="2:12">
      <c r="B402" s="2">
        <v>1</v>
      </c>
      <c r="C402" s="2">
        <v>1</v>
      </c>
      <c r="D402" s="2">
        <v>3</v>
      </c>
      <c r="E402" s="2">
        <v>1</v>
      </c>
      <c r="F402" s="2">
        <v>2</v>
      </c>
      <c r="G402" s="2">
        <v>1</v>
      </c>
      <c r="H402" s="2">
        <v>2</v>
      </c>
      <c r="I402" s="2">
        <v>1</v>
      </c>
      <c r="J402" s="2">
        <v>1</v>
      </c>
      <c r="K402" s="2">
        <v>2</v>
      </c>
      <c r="L402" s="2" t="b">
        <f t="shared" si="34"/>
        <v>0</v>
      </c>
    </row>
    <row r="403" spans="2:12">
      <c r="B403" s="2">
        <v>1</v>
      </c>
      <c r="C403" s="2">
        <v>1</v>
      </c>
      <c r="D403" s="2">
        <v>3</v>
      </c>
      <c r="E403" s="2">
        <v>1</v>
      </c>
      <c r="F403" s="2">
        <v>2</v>
      </c>
      <c r="G403" s="2">
        <v>1</v>
      </c>
      <c r="H403" s="2">
        <v>2</v>
      </c>
      <c r="I403" s="2">
        <v>1</v>
      </c>
      <c r="J403" s="2">
        <v>1</v>
      </c>
      <c r="K403" s="2">
        <v>2</v>
      </c>
      <c r="L403" s="2" t="b">
        <f t="shared" si="34"/>
        <v>0</v>
      </c>
    </row>
    <row r="404" spans="2:12">
      <c r="B404" s="2">
        <v>3</v>
      </c>
      <c r="C404" s="2">
        <v>1</v>
      </c>
      <c r="D404" s="2">
        <v>1</v>
      </c>
      <c r="E404" s="2">
        <v>3</v>
      </c>
      <c r="F404" s="2">
        <v>2</v>
      </c>
      <c r="G404" s="2">
        <v>1</v>
      </c>
      <c r="H404" s="2">
        <v>2</v>
      </c>
      <c r="I404" s="2">
        <v>1</v>
      </c>
      <c r="J404" s="2">
        <v>1</v>
      </c>
      <c r="K404" s="2">
        <v>2</v>
      </c>
      <c r="L404" s="2" t="b">
        <f t="shared" si="34"/>
        <v>0</v>
      </c>
    </row>
    <row r="405" spans="2:12">
      <c r="B405" s="2">
        <v>1</v>
      </c>
      <c r="C405" s="2">
        <v>1</v>
      </c>
      <c r="D405" s="2">
        <v>1</v>
      </c>
      <c r="E405" s="2">
        <v>1</v>
      </c>
      <c r="F405" s="2">
        <v>2</v>
      </c>
      <c r="G405" s="2">
        <v>1</v>
      </c>
      <c r="H405" s="2">
        <v>1</v>
      </c>
      <c r="I405" s="2">
        <v>1</v>
      </c>
      <c r="J405" s="2">
        <v>1</v>
      </c>
      <c r="K405" s="2">
        <v>2</v>
      </c>
      <c r="L405" s="2" t="b">
        <f t="shared" si="34"/>
        <v>0</v>
      </c>
    </row>
    <row r="406" spans="2:12">
      <c r="B406" s="2">
        <v>3</v>
      </c>
      <c r="C406" s="2">
        <v>1</v>
      </c>
      <c r="D406" s="2">
        <v>1</v>
      </c>
      <c r="E406" s="2">
        <v>1</v>
      </c>
      <c r="F406" s="2">
        <v>2</v>
      </c>
      <c r="G406" s="2">
        <v>1</v>
      </c>
      <c r="H406" s="2">
        <v>3</v>
      </c>
      <c r="I406" s="2">
        <v>1</v>
      </c>
      <c r="J406" s="2">
        <v>1</v>
      </c>
      <c r="K406" s="2">
        <v>2</v>
      </c>
      <c r="L406" s="2" t="b">
        <f t="shared" si="34"/>
        <v>0</v>
      </c>
    </row>
    <row r="407" spans="2:12">
      <c r="B407" s="2">
        <v>2</v>
      </c>
      <c r="C407" s="2">
        <v>1</v>
      </c>
      <c r="D407" s="2">
        <v>1</v>
      </c>
      <c r="E407" s="2">
        <v>1</v>
      </c>
      <c r="F407" s="2">
        <v>2</v>
      </c>
      <c r="G407" s="2">
        <v>1</v>
      </c>
      <c r="H407" s="2">
        <v>3</v>
      </c>
      <c r="I407" s="2">
        <v>1</v>
      </c>
      <c r="J407" s="2">
        <v>1</v>
      </c>
      <c r="K407" s="2">
        <v>2</v>
      </c>
      <c r="L407" s="2" t="b">
        <f t="shared" si="34"/>
        <v>0</v>
      </c>
    </row>
    <row r="408" spans="2:12">
      <c r="B408" s="2">
        <v>1</v>
      </c>
      <c r="C408" s="2">
        <v>1</v>
      </c>
      <c r="D408" s="2">
        <v>1</v>
      </c>
      <c r="E408" s="2">
        <v>1</v>
      </c>
      <c r="F408" s="2">
        <v>2</v>
      </c>
      <c r="G408" s="2">
        <v>1</v>
      </c>
      <c r="H408" s="2">
        <v>2</v>
      </c>
      <c r="I408" s="2">
        <v>1</v>
      </c>
      <c r="J408" s="2">
        <v>1</v>
      </c>
      <c r="K408" s="2">
        <v>2</v>
      </c>
      <c r="L408" s="2" t="b">
        <f t="shared" si="34"/>
        <v>0</v>
      </c>
    </row>
    <row r="409" spans="2:12">
      <c r="B409" s="2">
        <v>4</v>
      </c>
      <c r="C409" s="2">
        <v>1</v>
      </c>
      <c r="D409" s="2">
        <v>4</v>
      </c>
      <c r="E409" s="2">
        <v>1</v>
      </c>
      <c r="F409" s="2">
        <v>2</v>
      </c>
      <c r="G409" s="2">
        <v>1</v>
      </c>
      <c r="H409" s="2">
        <v>1</v>
      </c>
      <c r="I409" s="2">
        <v>1</v>
      </c>
      <c r="J409" s="2">
        <v>1</v>
      </c>
      <c r="K409" s="2">
        <v>2</v>
      </c>
      <c r="L409" s="2" t="b">
        <f t="shared" si="34"/>
        <v>0</v>
      </c>
    </row>
    <row r="410" spans="2:12">
      <c r="B410" s="2">
        <v>1</v>
      </c>
      <c r="C410" s="2">
        <v>1</v>
      </c>
      <c r="D410" s="2">
        <v>2</v>
      </c>
      <c r="E410" s="2">
        <v>1</v>
      </c>
      <c r="F410" s="2">
        <v>2</v>
      </c>
      <c r="G410" s="2">
        <v>1</v>
      </c>
      <c r="H410" s="2">
        <v>2</v>
      </c>
      <c r="I410" s="2">
        <v>1</v>
      </c>
      <c r="J410" s="2">
        <v>1</v>
      </c>
      <c r="K410" s="2">
        <v>2</v>
      </c>
      <c r="L410" s="2" t="b">
        <f t="shared" ref="L410:L473" si="35">IF(K410=4, TRUE, FALSE)</f>
        <v>0</v>
      </c>
    </row>
    <row r="411" spans="2:12">
      <c r="B411" s="2">
        <v>5</v>
      </c>
      <c r="C411" s="2">
        <v>1</v>
      </c>
      <c r="D411" s="2">
        <v>1</v>
      </c>
      <c r="E411" s="2">
        <v>1</v>
      </c>
      <c r="F411" s="2">
        <v>2</v>
      </c>
      <c r="G411" s="2">
        <v>1</v>
      </c>
      <c r="H411" s="2">
        <v>1</v>
      </c>
      <c r="I411" s="2">
        <v>1</v>
      </c>
      <c r="J411" s="2">
        <v>1</v>
      </c>
      <c r="K411" s="2">
        <v>2</v>
      </c>
      <c r="L411" s="2" t="b">
        <f t="shared" si="35"/>
        <v>0</v>
      </c>
    </row>
    <row r="412" spans="2:12">
      <c r="B412" s="2">
        <v>1</v>
      </c>
      <c r="C412" s="2">
        <v>1</v>
      </c>
      <c r="D412" s="2">
        <v>1</v>
      </c>
      <c r="E412" s="2">
        <v>1</v>
      </c>
      <c r="F412" s="2">
        <v>2</v>
      </c>
      <c r="G412" s="2">
        <v>1</v>
      </c>
      <c r="H412" s="2">
        <v>1</v>
      </c>
      <c r="I412" s="2">
        <v>1</v>
      </c>
      <c r="J412" s="2">
        <v>1</v>
      </c>
      <c r="K412" s="2">
        <v>2</v>
      </c>
      <c r="L412" s="2" t="b">
        <f t="shared" si="35"/>
        <v>0</v>
      </c>
    </row>
    <row r="413" spans="2:12">
      <c r="B413" s="2">
        <v>2</v>
      </c>
      <c r="C413" s="2">
        <v>1</v>
      </c>
      <c r="D413" s="2">
        <v>1</v>
      </c>
      <c r="E413" s="2">
        <v>1</v>
      </c>
      <c r="F413" s="2">
        <v>2</v>
      </c>
      <c r="G413" s="2">
        <v>1</v>
      </c>
      <c r="H413" s="2">
        <v>1</v>
      </c>
      <c r="I413" s="2">
        <v>1</v>
      </c>
      <c r="J413" s="2">
        <v>1</v>
      </c>
      <c r="K413" s="2">
        <v>2</v>
      </c>
      <c r="L413" s="2" t="b">
        <f t="shared" si="35"/>
        <v>0</v>
      </c>
    </row>
    <row r="414" spans="2:12">
      <c r="B414" s="2">
        <v>5</v>
      </c>
      <c r="C414" s="2">
        <v>1</v>
      </c>
      <c r="D414" s="2">
        <v>1</v>
      </c>
      <c r="E414" s="2">
        <v>1</v>
      </c>
      <c r="F414" s="2">
        <v>2</v>
      </c>
      <c r="G414" s="2">
        <v>1</v>
      </c>
      <c r="H414" s="2">
        <v>3</v>
      </c>
      <c r="I414" s="2">
        <v>2</v>
      </c>
      <c r="J414" s="2">
        <v>1</v>
      </c>
      <c r="K414" s="2">
        <v>2</v>
      </c>
      <c r="L414" s="2" t="b">
        <f t="shared" si="35"/>
        <v>0</v>
      </c>
    </row>
    <row r="415" spans="2:12">
      <c r="B415" s="2">
        <v>1</v>
      </c>
      <c r="C415" s="2">
        <v>1</v>
      </c>
      <c r="D415" s="2">
        <v>1</v>
      </c>
      <c r="E415" s="2">
        <v>1</v>
      </c>
      <c r="F415" s="2">
        <v>2</v>
      </c>
      <c r="G415" s="2">
        <v>1</v>
      </c>
      <c r="H415" s="2">
        <v>1</v>
      </c>
      <c r="I415" s="2">
        <v>1</v>
      </c>
      <c r="J415" s="2">
        <v>1</v>
      </c>
      <c r="K415" s="2">
        <v>2</v>
      </c>
      <c r="L415" s="2" t="b">
        <f t="shared" si="35"/>
        <v>0</v>
      </c>
    </row>
    <row r="416" spans="2:12">
      <c r="B416" s="2">
        <v>1</v>
      </c>
      <c r="C416" s="2">
        <v>1</v>
      </c>
      <c r="D416" s="2">
        <v>1</v>
      </c>
      <c r="E416" s="2">
        <v>1</v>
      </c>
      <c r="F416" s="2">
        <v>2</v>
      </c>
      <c r="G416" s="2">
        <v>1</v>
      </c>
      <c r="H416" s="2">
        <v>1</v>
      </c>
      <c r="I416" s="2">
        <v>1</v>
      </c>
      <c r="J416" s="2">
        <v>1</v>
      </c>
      <c r="K416" s="2">
        <v>2</v>
      </c>
      <c r="L416" s="2" t="b">
        <f t="shared" si="35"/>
        <v>0</v>
      </c>
    </row>
    <row r="417" spans="2:12">
      <c r="B417" s="2">
        <v>1</v>
      </c>
      <c r="C417" s="2">
        <v>1</v>
      </c>
      <c r="D417" s="2">
        <v>1</v>
      </c>
      <c r="E417" s="2">
        <v>1</v>
      </c>
      <c r="F417" s="2">
        <v>2</v>
      </c>
      <c r="G417" s="2">
        <v>1</v>
      </c>
      <c r="H417" s="2">
        <v>1</v>
      </c>
      <c r="I417" s="2">
        <v>1</v>
      </c>
      <c r="J417" s="2">
        <v>1</v>
      </c>
      <c r="K417" s="2">
        <v>2</v>
      </c>
      <c r="L417" s="2" t="b">
        <f t="shared" si="35"/>
        <v>0</v>
      </c>
    </row>
    <row r="418" spans="2:12">
      <c r="B418" s="2">
        <v>1</v>
      </c>
      <c r="C418" s="2">
        <v>1</v>
      </c>
      <c r="D418" s="2">
        <v>1</v>
      </c>
      <c r="E418" s="2">
        <v>1</v>
      </c>
      <c r="F418" s="2">
        <v>2</v>
      </c>
      <c r="G418" s="2">
        <v>1</v>
      </c>
      <c r="H418" s="2">
        <v>1</v>
      </c>
      <c r="I418" s="2">
        <v>1</v>
      </c>
      <c r="J418" s="2">
        <v>1</v>
      </c>
      <c r="K418" s="2">
        <v>2</v>
      </c>
      <c r="L418" s="2" t="b">
        <f t="shared" si="35"/>
        <v>0</v>
      </c>
    </row>
    <row r="419" spans="2:12">
      <c r="B419" s="2">
        <v>3</v>
      </c>
      <c r="C419" s="2">
        <v>1</v>
      </c>
      <c r="D419" s="2">
        <v>1</v>
      </c>
      <c r="E419" s="2">
        <v>1</v>
      </c>
      <c r="F419" s="2">
        <v>2</v>
      </c>
      <c r="G419" s="2">
        <v>1</v>
      </c>
      <c r="H419" s="2">
        <v>2</v>
      </c>
      <c r="I419" s="2">
        <v>3</v>
      </c>
      <c r="J419" s="2">
        <v>1</v>
      </c>
      <c r="K419" s="2">
        <v>2</v>
      </c>
      <c r="L419" s="2" t="b">
        <f t="shared" si="35"/>
        <v>0</v>
      </c>
    </row>
    <row r="420" spans="2:12">
      <c r="B420" s="2">
        <v>4</v>
      </c>
      <c r="C420" s="2">
        <v>1</v>
      </c>
      <c r="D420" s="2">
        <v>1</v>
      </c>
      <c r="E420" s="2">
        <v>1</v>
      </c>
      <c r="F420" s="2">
        <v>2</v>
      </c>
      <c r="G420" s="2">
        <v>1</v>
      </c>
      <c r="H420" s="2">
        <v>1</v>
      </c>
      <c r="I420" s="2">
        <v>1</v>
      </c>
      <c r="J420" s="2">
        <v>1</v>
      </c>
      <c r="K420" s="2">
        <v>2</v>
      </c>
      <c r="L420" s="2" t="b">
        <f t="shared" si="35"/>
        <v>0</v>
      </c>
    </row>
    <row r="421" spans="2:12">
      <c r="B421" s="2">
        <v>1</v>
      </c>
      <c r="C421" s="2">
        <v>1</v>
      </c>
      <c r="D421" s="2">
        <v>1</v>
      </c>
      <c r="E421" s="2">
        <v>1</v>
      </c>
      <c r="F421" s="2">
        <v>2</v>
      </c>
      <c r="G421" s="2">
        <v>1</v>
      </c>
      <c r="H421" s="2">
        <v>1</v>
      </c>
      <c r="I421" s="2">
        <v>1</v>
      </c>
      <c r="J421" s="2">
        <v>8</v>
      </c>
      <c r="K421" s="2">
        <v>2</v>
      </c>
      <c r="L421" s="2" t="b">
        <f t="shared" si="35"/>
        <v>0</v>
      </c>
    </row>
    <row r="422" spans="2:12">
      <c r="B422" s="2">
        <v>1</v>
      </c>
      <c r="C422" s="2">
        <v>1</v>
      </c>
      <c r="D422" s="2">
        <v>1</v>
      </c>
      <c r="E422" s="2">
        <v>3</v>
      </c>
      <c r="F422" s="2">
        <v>2</v>
      </c>
      <c r="G422" s="2">
        <v>1</v>
      </c>
      <c r="H422" s="2">
        <v>1</v>
      </c>
      <c r="I422" s="2">
        <v>1</v>
      </c>
      <c r="J422" s="2">
        <v>1</v>
      </c>
      <c r="K422" s="2">
        <v>2</v>
      </c>
      <c r="L422" s="2" t="b">
        <f t="shared" si="35"/>
        <v>0</v>
      </c>
    </row>
    <row r="423" spans="2:12">
      <c r="B423" s="2">
        <v>3</v>
      </c>
      <c r="C423" s="2">
        <v>1</v>
      </c>
      <c r="D423" s="2">
        <v>1</v>
      </c>
      <c r="E423" s="2">
        <v>1</v>
      </c>
      <c r="F423" s="2">
        <v>2</v>
      </c>
      <c r="G423" s="2">
        <v>1</v>
      </c>
      <c r="H423" s="2">
        <v>1</v>
      </c>
      <c r="I423" s="2">
        <v>1</v>
      </c>
      <c r="J423" s="2">
        <v>1</v>
      </c>
      <c r="K423" s="2">
        <v>2</v>
      </c>
      <c r="L423" s="2" t="b">
        <f t="shared" si="35"/>
        <v>0</v>
      </c>
    </row>
    <row r="424" spans="2:12">
      <c r="B424" s="2">
        <v>3</v>
      </c>
      <c r="C424" s="2">
        <v>1</v>
      </c>
      <c r="D424" s="2">
        <v>1</v>
      </c>
      <c r="E424" s="2">
        <v>1</v>
      </c>
      <c r="F424" s="2">
        <v>2</v>
      </c>
      <c r="G424" s="2">
        <v>1</v>
      </c>
      <c r="H424" s="2">
        <v>2</v>
      </c>
      <c r="I424" s="2">
        <v>1</v>
      </c>
      <c r="J424" s="2">
        <v>2</v>
      </c>
      <c r="K424" s="2">
        <v>2</v>
      </c>
      <c r="L424" s="2" t="b">
        <f t="shared" si="35"/>
        <v>0</v>
      </c>
    </row>
    <row r="425" spans="2:12">
      <c r="B425" s="2">
        <v>2</v>
      </c>
      <c r="C425" s="2">
        <v>1</v>
      </c>
      <c r="D425" s="2">
        <v>1</v>
      </c>
      <c r="E425" s="2">
        <v>1</v>
      </c>
      <c r="F425" s="2">
        <v>2</v>
      </c>
      <c r="G425" s="2">
        <v>1</v>
      </c>
      <c r="H425" s="2">
        <v>1</v>
      </c>
      <c r="I425" s="2">
        <v>1</v>
      </c>
      <c r="J425" s="2">
        <v>1</v>
      </c>
      <c r="K425" s="2">
        <v>2</v>
      </c>
      <c r="L425" s="2" t="b">
        <f t="shared" si="35"/>
        <v>0</v>
      </c>
    </row>
    <row r="426" spans="2:12">
      <c r="B426" s="2">
        <v>3</v>
      </c>
      <c r="C426" s="2">
        <v>1</v>
      </c>
      <c r="D426" s="2">
        <v>1</v>
      </c>
      <c r="E426" s="2">
        <v>1</v>
      </c>
      <c r="F426" s="2">
        <v>2</v>
      </c>
      <c r="G426" s="2">
        <v>2</v>
      </c>
      <c r="H426" s="2">
        <v>3</v>
      </c>
      <c r="I426" s="2">
        <v>1</v>
      </c>
      <c r="J426" s="2">
        <v>1</v>
      </c>
      <c r="K426" s="2">
        <v>2</v>
      </c>
      <c r="L426" s="2" t="b">
        <f t="shared" si="35"/>
        <v>0</v>
      </c>
    </row>
    <row r="427" spans="2:12">
      <c r="B427" s="2">
        <v>1</v>
      </c>
      <c r="C427" s="2">
        <v>1</v>
      </c>
      <c r="D427" s="2">
        <v>1</v>
      </c>
      <c r="E427" s="2">
        <v>1</v>
      </c>
      <c r="F427" s="2">
        <v>2</v>
      </c>
      <c r="G427" s="2">
        <v>2</v>
      </c>
      <c r="H427" s="2">
        <v>2</v>
      </c>
      <c r="I427" s="2">
        <v>1</v>
      </c>
      <c r="J427" s="2">
        <v>1</v>
      </c>
      <c r="K427" s="2">
        <v>2</v>
      </c>
      <c r="L427" s="2" t="b">
        <f t="shared" si="35"/>
        <v>0</v>
      </c>
    </row>
    <row r="428" spans="2:12">
      <c r="B428" s="2">
        <v>1</v>
      </c>
      <c r="C428" s="2">
        <v>1</v>
      </c>
      <c r="D428" s="2">
        <v>2</v>
      </c>
      <c r="E428" s="2">
        <v>1</v>
      </c>
      <c r="F428" s="2">
        <v>2</v>
      </c>
      <c r="G428" s="2">
        <v>2</v>
      </c>
      <c r="H428" s="2">
        <v>4</v>
      </c>
      <c r="I428" s="2">
        <v>2</v>
      </c>
      <c r="J428" s="2">
        <v>1</v>
      </c>
      <c r="K428" s="2">
        <v>2</v>
      </c>
      <c r="L428" s="2" t="b">
        <f t="shared" si="35"/>
        <v>0</v>
      </c>
    </row>
    <row r="429" spans="2:12">
      <c r="B429" s="2">
        <v>3</v>
      </c>
      <c r="C429" s="2">
        <v>1</v>
      </c>
      <c r="D429" s="2">
        <v>1</v>
      </c>
      <c r="E429" s="2">
        <v>1</v>
      </c>
      <c r="F429" s="2">
        <v>2</v>
      </c>
      <c r="G429" s="2">
        <v>2</v>
      </c>
      <c r="H429" s="2">
        <v>7</v>
      </c>
      <c r="I429" s="2">
        <v>1</v>
      </c>
      <c r="J429" s="2">
        <v>1</v>
      </c>
      <c r="K429" s="2">
        <v>2</v>
      </c>
      <c r="L429" s="2" t="b">
        <f t="shared" si="35"/>
        <v>0</v>
      </c>
    </row>
    <row r="430" spans="2:12">
      <c r="B430" s="2">
        <v>5</v>
      </c>
      <c r="C430" s="2">
        <v>1</v>
      </c>
      <c r="D430" s="2">
        <v>1</v>
      </c>
      <c r="E430" s="2">
        <v>1</v>
      </c>
      <c r="F430" s="2">
        <v>2</v>
      </c>
      <c r="G430" s="2">
        <v>2</v>
      </c>
      <c r="H430" s="2">
        <v>3</v>
      </c>
      <c r="I430" s="2">
        <v>3</v>
      </c>
      <c r="J430" s="2">
        <v>1</v>
      </c>
      <c r="K430" s="2">
        <v>2</v>
      </c>
      <c r="L430" s="2" t="b">
        <f t="shared" si="35"/>
        <v>0</v>
      </c>
    </row>
    <row r="431" spans="2:12">
      <c r="B431" s="2">
        <v>1</v>
      </c>
      <c r="C431" s="2">
        <v>1</v>
      </c>
      <c r="D431" s="2">
        <v>1</v>
      </c>
      <c r="E431" s="2">
        <v>1</v>
      </c>
      <c r="F431" s="2">
        <v>3</v>
      </c>
      <c r="G431" s="2">
        <v>2</v>
      </c>
      <c r="H431" s="2">
        <v>2</v>
      </c>
      <c r="I431" s="2">
        <v>1</v>
      </c>
      <c r="J431" s="2">
        <v>1</v>
      </c>
      <c r="K431" s="2">
        <v>2</v>
      </c>
      <c r="L431" s="2" t="b">
        <f t="shared" si="35"/>
        <v>0</v>
      </c>
    </row>
    <row r="432" spans="2:12">
      <c r="B432" s="2">
        <v>4</v>
      </c>
      <c r="C432" s="2">
        <v>1</v>
      </c>
      <c r="D432" s="2">
        <v>1</v>
      </c>
      <c r="E432" s="2">
        <v>1</v>
      </c>
      <c r="F432" s="2">
        <v>2</v>
      </c>
      <c r="G432" s="2">
        <v>2</v>
      </c>
      <c r="H432" s="2">
        <v>3</v>
      </c>
      <c r="I432" s="2">
        <v>2</v>
      </c>
      <c r="J432" s="2">
        <v>1</v>
      </c>
      <c r="K432" s="2">
        <v>2</v>
      </c>
      <c r="L432" s="2" t="b">
        <f t="shared" si="35"/>
        <v>0</v>
      </c>
    </row>
    <row r="433" spans="2:12">
      <c r="B433" s="2">
        <v>5</v>
      </c>
      <c r="C433" s="2">
        <v>1</v>
      </c>
      <c r="D433" s="2">
        <v>3</v>
      </c>
      <c r="E433" s="2">
        <v>3</v>
      </c>
      <c r="F433" s="2">
        <v>2</v>
      </c>
      <c r="G433" s="2">
        <v>2</v>
      </c>
      <c r="H433" s="2">
        <v>2</v>
      </c>
      <c r="I433" s="2">
        <v>3</v>
      </c>
      <c r="J433" s="2">
        <v>1</v>
      </c>
      <c r="K433" s="2">
        <v>2</v>
      </c>
      <c r="L433" s="2" t="b">
        <f t="shared" si="35"/>
        <v>0</v>
      </c>
    </row>
    <row r="434" spans="2:12">
      <c r="B434" s="2">
        <v>5</v>
      </c>
      <c r="C434" s="2">
        <v>1</v>
      </c>
      <c r="D434" s="2">
        <v>1</v>
      </c>
      <c r="E434" s="2">
        <v>2</v>
      </c>
      <c r="F434" s="2">
        <v>2</v>
      </c>
      <c r="G434" s="2">
        <v>2</v>
      </c>
      <c r="H434" s="2">
        <v>3</v>
      </c>
      <c r="I434" s="2">
        <v>1</v>
      </c>
      <c r="J434" s="2">
        <v>1</v>
      </c>
      <c r="K434" s="2">
        <v>2</v>
      </c>
      <c r="L434" s="2" t="b">
        <f t="shared" si="35"/>
        <v>0</v>
      </c>
    </row>
    <row r="435" spans="2:12">
      <c r="B435" s="2">
        <v>5</v>
      </c>
      <c r="C435" s="2">
        <v>1</v>
      </c>
      <c r="D435" s="2">
        <v>1</v>
      </c>
      <c r="E435" s="2">
        <v>1</v>
      </c>
      <c r="F435" s="2">
        <v>3</v>
      </c>
      <c r="G435" s="2">
        <v>2</v>
      </c>
      <c r="H435" s="2">
        <v>2</v>
      </c>
      <c r="I435" s="2">
        <v>2</v>
      </c>
      <c r="J435" s="2">
        <v>1</v>
      </c>
      <c r="K435" s="2">
        <v>2</v>
      </c>
      <c r="L435" s="2" t="b">
        <f t="shared" si="35"/>
        <v>0</v>
      </c>
    </row>
    <row r="436" spans="2:12">
      <c r="B436" s="2">
        <v>1</v>
      </c>
      <c r="C436" s="2">
        <v>1</v>
      </c>
      <c r="D436" s="2">
        <v>1</v>
      </c>
      <c r="E436" s="2">
        <v>1</v>
      </c>
      <c r="F436" s="2">
        <v>2</v>
      </c>
      <c r="G436" s="2">
        <v>2</v>
      </c>
      <c r="H436" s="2">
        <v>1</v>
      </c>
      <c r="I436" s="2">
        <v>1</v>
      </c>
      <c r="J436" s="2">
        <v>1</v>
      </c>
      <c r="K436" s="2">
        <v>2</v>
      </c>
      <c r="L436" s="2" t="b">
        <f t="shared" si="35"/>
        <v>0</v>
      </c>
    </row>
    <row r="437" spans="2:12">
      <c r="B437" s="2">
        <v>5</v>
      </c>
      <c r="C437" s="2">
        <v>1</v>
      </c>
      <c r="D437" s="2">
        <v>1</v>
      </c>
      <c r="E437" s="2">
        <v>1</v>
      </c>
      <c r="F437" s="2">
        <v>2</v>
      </c>
      <c r="G437" s="2">
        <v>2</v>
      </c>
      <c r="H437" s="2">
        <v>2</v>
      </c>
      <c r="I437" s="2">
        <v>1</v>
      </c>
      <c r="J437" s="2">
        <v>1</v>
      </c>
      <c r="K437" s="2">
        <v>2</v>
      </c>
      <c r="L437" s="2" t="b">
        <f t="shared" si="35"/>
        <v>0</v>
      </c>
    </row>
    <row r="438" spans="2:12">
      <c r="B438" s="2">
        <v>3</v>
      </c>
      <c r="C438" s="2">
        <v>1</v>
      </c>
      <c r="D438" s="2">
        <v>1</v>
      </c>
      <c r="E438" s="2">
        <v>1</v>
      </c>
      <c r="F438" s="2">
        <v>3</v>
      </c>
      <c r="G438" s="2">
        <v>2</v>
      </c>
      <c r="H438" s="2">
        <v>1</v>
      </c>
      <c r="I438" s="2">
        <v>1</v>
      </c>
      <c r="J438" s="2">
        <v>1</v>
      </c>
      <c r="K438" s="2">
        <v>2</v>
      </c>
      <c r="L438" s="2" t="b">
        <f t="shared" si="35"/>
        <v>0</v>
      </c>
    </row>
    <row r="439" spans="2:12">
      <c r="B439" s="2">
        <v>1</v>
      </c>
      <c r="C439" s="2">
        <v>1</v>
      </c>
      <c r="D439" s="2">
        <v>1</v>
      </c>
      <c r="E439" s="2">
        <v>1</v>
      </c>
      <c r="F439" s="2">
        <v>2</v>
      </c>
      <c r="G439" s="2">
        <v>3</v>
      </c>
      <c r="H439" s="2">
        <v>3</v>
      </c>
      <c r="I439" s="2">
        <v>1</v>
      </c>
      <c r="J439" s="2">
        <v>1</v>
      </c>
      <c r="K439" s="2">
        <v>2</v>
      </c>
      <c r="L439" s="2" t="b">
        <f t="shared" si="35"/>
        <v>0</v>
      </c>
    </row>
    <row r="440" spans="2:12">
      <c r="B440" s="2">
        <v>3</v>
      </c>
      <c r="C440" s="2">
        <v>1</v>
      </c>
      <c r="D440" s="2">
        <v>1</v>
      </c>
      <c r="E440" s="2">
        <v>1</v>
      </c>
      <c r="F440" s="2">
        <v>2</v>
      </c>
      <c r="G440" s="2">
        <v>3</v>
      </c>
      <c r="H440" s="2">
        <v>3</v>
      </c>
      <c r="I440" s="2">
        <v>1</v>
      </c>
      <c r="J440" s="2">
        <v>1</v>
      </c>
      <c r="K440" s="2">
        <v>2</v>
      </c>
      <c r="L440" s="2" t="b">
        <f t="shared" si="35"/>
        <v>0</v>
      </c>
    </row>
    <row r="441" spans="2:12">
      <c r="B441" s="2">
        <v>1</v>
      </c>
      <c r="C441" s="2">
        <v>1</v>
      </c>
      <c r="D441" s="2">
        <v>1</v>
      </c>
      <c r="E441" s="2">
        <v>1</v>
      </c>
      <c r="F441" s="2">
        <v>4</v>
      </c>
      <c r="G441" s="2">
        <v>3</v>
      </c>
      <c r="H441" s="2">
        <v>1</v>
      </c>
      <c r="I441" s="2">
        <v>1</v>
      </c>
      <c r="J441" s="2">
        <v>1</v>
      </c>
      <c r="K441" s="2">
        <v>2</v>
      </c>
      <c r="L441" s="2" t="b">
        <f t="shared" si="35"/>
        <v>0</v>
      </c>
    </row>
    <row r="442" spans="2:12">
      <c r="B442" s="2">
        <v>4</v>
      </c>
      <c r="C442" s="2">
        <v>1</v>
      </c>
      <c r="D442" s="2">
        <v>1</v>
      </c>
      <c r="E442" s="2">
        <v>1</v>
      </c>
      <c r="F442" s="2">
        <v>2</v>
      </c>
      <c r="G442" s="2">
        <v>3</v>
      </c>
      <c r="H442" s="2">
        <v>1</v>
      </c>
      <c r="I442" s="2">
        <v>1</v>
      </c>
      <c r="J442" s="2">
        <v>1</v>
      </c>
      <c r="K442" s="2">
        <v>2</v>
      </c>
      <c r="L442" s="2" t="b">
        <f t="shared" si="35"/>
        <v>0</v>
      </c>
    </row>
    <row r="443" spans="2:12">
      <c r="B443" s="2">
        <v>1</v>
      </c>
      <c r="C443" s="2">
        <v>1</v>
      </c>
      <c r="D443" s="2">
        <v>1</v>
      </c>
      <c r="E443" s="2">
        <v>2</v>
      </c>
      <c r="F443" s="2">
        <v>1</v>
      </c>
      <c r="G443" s="2">
        <v>3</v>
      </c>
      <c r="H443" s="2">
        <v>1</v>
      </c>
      <c r="I443" s="2">
        <v>1</v>
      </c>
      <c r="J443" s="2">
        <v>7</v>
      </c>
      <c r="K443" s="2">
        <v>2</v>
      </c>
      <c r="L443" s="2" t="b">
        <f t="shared" si="35"/>
        <v>0</v>
      </c>
    </row>
    <row r="444" spans="2:12">
      <c r="B444" s="2">
        <v>1</v>
      </c>
      <c r="C444" s="2">
        <v>1</v>
      </c>
      <c r="D444" s="2">
        <v>1</v>
      </c>
      <c r="E444" s="2">
        <v>3</v>
      </c>
      <c r="F444" s="2">
        <v>2</v>
      </c>
      <c r="G444" s="2">
        <v>3</v>
      </c>
      <c r="H444" s="2">
        <v>1</v>
      </c>
      <c r="I444" s="2">
        <v>1</v>
      </c>
      <c r="J444" s="2">
        <v>1</v>
      </c>
      <c r="K444" s="2">
        <v>2</v>
      </c>
      <c r="L444" s="2" t="b">
        <f t="shared" si="35"/>
        <v>0</v>
      </c>
    </row>
    <row r="445" spans="2:12">
      <c r="B445" s="2">
        <v>1</v>
      </c>
      <c r="C445" s="2">
        <v>1</v>
      </c>
      <c r="D445" s="2">
        <v>1</v>
      </c>
      <c r="E445" s="2">
        <v>3</v>
      </c>
      <c r="F445" s="2">
        <v>1</v>
      </c>
      <c r="G445" s="2">
        <v>3</v>
      </c>
      <c r="H445" s="2">
        <v>1</v>
      </c>
      <c r="I445" s="2">
        <v>1</v>
      </c>
      <c r="J445" s="2">
        <v>1</v>
      </c>
      <c r="K445" s="2">
        <v>2</v>
      </c>
      <c r="L445" s="2" t="b">
        <f t="shared" si="35"/>
        <v>0</v>
      </c>
    </row>
    <row r="446" spans="2:12">
      <c r="B446" s="2">
        <v>4</v>
      </c>
      <c r="C446" s="2">
        <v>1</v>
      </c>
      <c r="D446" s="2">
        <v>1</v>
      </c>
      <c r="E446" s="2">
        <v>1</v>
      </c>
      <c r="F446" s="2">
        <v>2</v>
      </c>
      <c r="G446" s="2">
        <v>3</v>
      </c>
      <c r="H446" s="2">
        <v>2</v>
      </c>
      <c r="I446" s="2">
        <v>1</v>
      </c>
      <c r="J446" s="2">
        <v>1</v>
      </c>
      <c r="K446" s="2">
        <v>2</v>
      </c>
      <c r="L446" s="2" t="b">
        <f t="shared" si="35"/>
        <v>0</v>
      </c>
    </row>
    <row r="447" spans="2:12">
      <c r="B447" s="2">
        <v>3</v>
      </c>
      <c r="C447" s="2">
        <v>1</v>
      </c>
      <c r="D447" s="2">
        <v>1</v>
      </c>
      <c r="E447" s="2">
        <v>1</v>
      </c>
      <c r="F447" s="2">
        <v>2</v>
      </c>
      <c r="G447" s="2">
        <v>4</v>
      </c>
      <c r="H447" s="2">
        <v>1</v>
      </c>
      <c r="I447" s="2">
        <v>1</v>
      </c>
      <c r="J447" s="2">
        <v>1</v>
      </c>
      <c r="K447" s="2">
        <v>2</v>
      </c>
      <c r="L447" s="2" t="b">
        <f t="shared" si="35"/>
        <v>0</v>
      </c>
    </row>
    <row r="448" spans="2:12">
      <c r="B448" s="2">
        <v>1</v>
      </c>
      <c r="C448" s="2">
        <v>1</v>
      </c>
      <c r="D448" s="2">
        <v>1</v>
      </c>
      <c r="E448" s="2">
        <v>1</v>
      </c>
      <c r="F448" s="2">
        <v>2</v>
      </c>
      <c r="G448" s="2">
        <v>4</v>
      </c>
      <c r="H448" s="2">
        <v>1</v>
      </c>
      <c r="I448" s="2">
        <v>1</v>
      </c>
      <c r="J448" s="2">
        <v>1</v>
      </c>
      <c r="K448" s="2">
        <v>2</v>
      </c>
      <c r="L448" s="2" t="b">
        <f t="shared" si="35"/>
        <v>0</v>
      </c>
    </row>
    <row r="449" spans="2:12">
      <c r="B449" s="2">
        <v>3</v>
      </c>
      <c r="C449" s="2">
        <v>1</v>
      </c>
      <c r="D449" s="2">
        <v>3</v>
      </c>
      <c r="E449" s="2">
        <v>1</v>
      </c>
      <c r="F449" s="2">
        <v>3</v>
      </c>
      <c r="G449" s="2">
        <v>4</v>
      </c>
      <c r="H449" s="2">
        <v>1</v>
      </c>
      <c r="I449" s="2">
        <v>1</v>
      </c>
      <c r="J449" s="2">
        <v>1</v>
      </c>
      <c r="K449" s="2">
        <v>2</v>
      </c>
      <c r="L449" s="2" t="b">
        <f t="shared" si="35"/>
        <v>0</v>
      </c>
    </row>
    <row r="450" spans="2:12">
      <c r="B450" s="2">
        <v>3</v>
      </c>
      <c r="C450" s="2">
        <v>1</v>
      </c>
      <c r="D450" s="2">
        <v>1</v>
      </c>
      <c r="E450" s="2">
        <v>2</v>
      </c>
      <c r="F450" s="2">
        <v>3</v>
      </c>
      <c r="G450" s="2">
        <v>4</v>
      </c>
      <c r="H450" s="2">
        <v>1</v>
      </c>
      <c r="I450" s="2">
        <v>1</v>
      </c>
      <c r="J450" s="2">
        <v>1</v>
      </c>
      <c r="K450" s="2">
        <v>2</v>
      </c>
      <c r="L450" s="2" t="b">
        <f t="shared" si="35"/>
        <v>0</v>
      </c>
    </row>
    <row r="451" spans="2:12">
      <c r="B451" s="2">
        <v>1</v>
      </c>
      <c r="C451" s="2">
        <v>1</v>
      </c>
      <c r="D451" s="2">
        <v>1</v>
      </c>
      <c r="E451" s="2">
        <v>1</v>
      </c>
      <c r="F451" s="2">
        <v>2</v>
      </c>
      <c r="G451" s="2">
        <v>5</v>
      </c>
      <c r="H451" s="2">
        <v>1</v>
      </c>
      <c r="I451" s="2">
        <v>1</v>
      </c>
      <c r="J451" s="2">
        <v>1</v>
      </c>
      <c r="K451" s="2">
        <v>2</v>
      </c>
      <c r="L451" s="2" t="b">
        <f t="shared" si="35"/>
        <v>0</v>
      </c>
    </row>
    <row r="452" spans="2:12">
      <c r="B452" s="2">
        <v>1</v>
      </c>
      <c r="C452" s="2">
        <v>1</v>
      </c>
      <c r="D452" s="2">
        <v>1</v>
      </c>
      <c r="E452" s="2">
        <v>1</v>
      </c>
      <c r="F452" s="2">
        <v>2</v>
      </c>
      <c r="G452" s="2">
        <v>5</v>
      </c>
      <c r="H452" s="2">
        <v>1</v>
      </c>
      <c r="I452" s="2">
        <v>1</v>
      </c>
      <c r="J452" s="2">
        <v>1</v>
      </c>
      <c r="K452" s="2">
        <v>2</v>
      </c>
      <c r="L452" s="2" t="b">
        <f t="shared" si="35"/>
        <v>0</v>
      </c>
    </row>
    <row r="453" spans="2:12">
      <c r="B453" s="2">
        <v>4</v>
      </c>
      <c r="C453" s="2">
        <v>1</v>
      </c>
      <c r="D453" s="2">
        <v>1</v>
      </c>
      <c r="E453" s="2">
        <v>3</v>
      </c>
      <c r="F453" s="2">
        <v>1</v>
      </c>
      <c r="G453" s="2">
        <v>5</v>
      </c>
      <c r="H453" s="2">
        <v>2</v>
      </c>
      <c r="I453" s="2">
        <v>1</v>
      </c>
      <c r="J453" s="2">
        <v>1</v>
      </c>
      <c r="K453" s="2">
        <v>4</v>
      </c>
      <c r="L453" s="2" t="b">
        <f t="shared" si="35"/>
        <v>1</v>
      </c>
    </row>
    <row r="454" spans="2:12">
      <c r="B454" s="2">
        <v>1</v>
      </c>
      <c r="C454" s="2">
        <v>1</v>
      </c>
      <c r="D454" s="2">
        <v>1</v>
      </c>
      <c r="E454" s="2">
        <v>1</v>
      </c>
      <c r="F454" s="2">
        <v>2</v>
      </c>
      <c r="G454" s="2">
        <v>5</v>
      </c>
      <c r="H454" s="2">
        <v>5</v>
      </c>
      <c r="I454" s="2">
        <v>1</v>
      </c>
      <c r="J454" s="2">
        <v>1</v>
      </c>
      <c r="K454" s="2">
        <v>2</v>
      </c>
      <c r="L454" s="2" t="b">
        <f t="shared" si="35"/>
        <v>0</v>
      </c>
    </row>
    <row r="455" spans="2:12">
      <c r="B455" s="2">
        <v>6</v>
      </c>
      <c r="C455" s="2">
        <v>1</v>
      </c>
      <c r="D455" s="2">
        <v>3</v>
      </c>
      <c r="E455" s="2">
        <v>1</v>
      </c>
      <c r="F455" s="2">
        <v>4</v>
      </c>
      <c r="G455" s="2">
        <v>5</v>
      </c>
      <c r="H455" s="2">
        <v>5</v>
      </c>
      <c r="I455" s="2">
        <v>10</v>
      </c>
      <c r="J455" s="2">
        <v>1</v>
      </c>
      <c r="K455" s="2">
        <v>4</v>
      </c>
      <c r="L455" s="2" t="b">
        <f t="shared" si="35"/>
        <v>1</v>
      </c>
    </row>
    <row r="456" spans="2:12">
      <c r="B456" s="2">
        <v>3</v>
      </c>
      <c r="C456" s="2">
        <v>1</v>
      </c>
      <c r="D456" s="2">
        <v>1</v>
      </c>
      <c r="E456" s="2">
        <v>1</v>
      </c>
      <c r="F456" s="2">
        <v>2</v>
      </c>
      <c r="G456" s="2">
        <v>5</v>
      </c>
      <c r="H456" s="2">
        <v>5</v>
      </c>
      <c r="I456" s="2">
        <v>1</v>
      </c>
      <c r="J456" s="2">
        <v>1</v>
      </c>
      <c r="K456" s="2">
        <v>2</v>
      </c>
      <c r="L456" s="2" t="b">
        <f t="shared" si="35"/>
        <v>0</v>
      </c>
    </row>
    <row r="457" spans="2:12">
      <c r="B457" s="2">
        <v>3</v>
      </c>
      <c r="C457" s="2">
        <v>1</v>
      </c>
      <c r="D457" s="2">
        <v>1</v>
      </c>
      <c r="E457" s="2">
        <v>1</v>
      </c>
      <c r="F457" s="2">
        <v>2</v>
      </c>
      <c r="G457" s="2">
        <v>5</v>
      </c>
      <c r="H457" s="2">
        <v>1</v>
      </c>
      <c r="I457" s="2">
        <v>1</v>
      </c>
      <c r="J457" s="2">
        <v>1</v>
      </c>
      <c r="K457" s="2">
        <v>2</v>
      </c>
      <c r="L457" s="2" t="b">
        <f t="shared" si="35"/>
        <v>0</v>
      </c>
    </row>
    <row r="458" spans="2:12">
      <c r="B458" s="2">
        <v>5</v>
      </c>
      <c r="C458" s="2">
        <v>1</v>
      </c>
      <c r="D458" s="2">
        <v>2</v>
      </c>
      <c r="E458" s="2">
        <v>10</v>
      </c>
      <c r="F458" s="2">
        <v>4</v>
      </c>
      <c r="G458" s="2">
        <v>5</v>
      </c>
      <c r="H458" s="2">
        <v>2</v>
      </c>
      <c r="I458" s="2">
        <v>1</v>
      </c>
      <c r="J458" s="2">
        <v>1</v>
      </c>
      <c r="K458" s="2">
        <v>2</v>
      </c>
      <c r="L458" s="2" t="b">
        <f t="shared" si="35"/>
        <v>0</v>
      </c>
    </row>
    <row r="459" spans="2:12">
      <c r="B459" s="2">
        <v>2</v>
      </c>
      <c r="C459" s="2">
        <v>1</v>
      </c>
      <c r="D459" s="2">
        <v>1</v>
      </c>
      <c r="E459" s="2">
        <v>1</v>
      </c>
      <c r="F459" s="2">
        <v>2</v>
      </c>
      <c r="G459" s="2">
        <v>5</v>
      </c>
      <c r="H459" s="2">
        <v>1</v>
      </c>
      <c r="I459" s="2">
        <v>1</v>
      </c>
      <c r="J459" s="2">
        <v>1</v>
      </c>
      <c r="K459" s="2">
        <v>2</v>
      </c>
      <c r="L459" s="2" t="b">
        <f t="shared" si="35"/>
        <v>0</v>
      </c>
    </row>
    <row r="460" spans="2:12">
      <c r="B460" s="2">
        <v>1</v>
      </c>
      <c r="C460" s="2">
        <v>1</v>
      </c>
      <c r="D460" s="2">
        <v>1</v>
      </c>
      <c r="E460" s="2">
        <v>1</v>
      </c>
      <c r="F460" s="2">
        <v>2</v>
      </c>
      <c r="G460" s="2">
        <v>10</v>
      </c>
      <c r="H460" s="2">
        <v>3</v>
      </c>
      <c r="I460" s="2">
        <v>1</v>
      </c>
      <c r="J460" s="2">
        <v>1</v>
      </c>
      <c r="K460" s="2">
        <v>2</v>
      </c>
      <c r="L460" s="2" t="b">
        <f t="shared" si="35"/>
        <v>0</v>
      </c>
    </row>
    <row r="461" spans="2:12">
      <c r="B461" s="2">
        <v>9</v>
      </c>
      <c r="C461" s="2">
        <v>1</v>
      </c>
      <c r="D461" s="2">
        <v>2</v>
      </c>
      <c r="E461" s="2">
        <v>6</v>
      </c>
      <c r="F461" s="2">
        <v>4</v>
      </c>
      <c r="G461" s="2">
        <v>10</v>
      </c>
      <c r="H461" s="2">
        <v>7</v>
      </c>
      <c r="I461" s="2">
        <v>7</v>
      </c>
      <c r="J461" s="2">
        <v>2</v>
      </c>
      <c r="K461" s="2">
        <v>4</v>
      </c>
      <c r="L461" s="2" t="b">
        <f t="shared" si="35"/>
        <v>1</v>
      </c>
    </row>
    <row r="462" spans="2:12">
      <c r="B462" s="2">
        <v>10</v>
      </c>
      <c r="C462" s="2">
        <v>1</v>
      </c>
      <c r="D462" s="2">
        <v>1</v>
      </c>
      <c r="E462" s="2">
        <v>1</v>
      </c>
      <c r="F462" s="2">
        <v>2</v>
      </c>
      <c r="G462" s="2">
        <v>10</v>
      </c>
      <c r="H462" s="2">
        <v>5</v>
      </c>
      <c r="I462" s="2">
        <v>4</v>
      </c>
      <c r="J462" s="2">
        <v>1</v>
      </c>
      <c r="K462" s="2">
        <v>4</v>
      </c>
      <c r="L462" s="2" t="b">
        <f t="shared" si="35"/>
        <v>1</v>
      </c>
    </row>
    <row r="463" spans="2:12">
      <c r="B463" s="2">
        <v>1</v>
      </c>
      <c r="C463" s="2">
        <v>1</v>
      </c>
      <c r="D463" s="2">
        <v>1</v>
      </c>
      <c r="E463" s="2">
        <v>1</v>
      </c>
      <c r="F463" s="2">
        <v>1</v>
      </c>
      <c r="G463" s="2" t="s">
        <v>8</v>
      </c>
      <c r="H463" s="2">
        <v>2</v>
      </c>
      <c r="I463" s="2">
        <v>1</v>
      </c>
      <c r="J463" s="2">
        <v>1</v>
      </c>
      <c r="K463" s="2">
        <v>2</v>
      </c>
      <c r="L463" s="2" t="b">
        <f t="shared" si="35"/>
        <v>0</v>
      </c>
    </row>
    <row r="464" spans="2:12">
      <c r="B464" s="2">
        <v>1</v>
      </c>
      <c r="C464" s="2">
        <v>1</v>
      </c>
      <c r="D464" s="2">
        <v>3</v>
      </c>
      <c r="E464" s="2">
        <v>1</v>
      </c>
      <c r="F464" s="2">
        <v>2</v>
      </c>
      <c r="G464" s="2" t="s">
        <v>8</v>
      </c>
      <c r="H464" s="2">
        <v>2</v>
      </c>
      <c r="I464" s="2">
        <v>1</v>
      </c>
      <c r="J464" s="2">
        <v>1</v>
      </c>
      <c r="K464" s="2">
        <v>2</v>
      </c>
      <c r="L464" s="2" t="b">
        <f t="shared" si="35"/>
        <v>0</v>
      </c>
    </row>
    <row r="465" spans="2:12">
      <c r="B465" s="2">
        <v>1</v>
      </c>
      <c r="C465" s="2">
        <v>1</v>
      </c>
      <c r="D465" s="2">
        <v>2</v>
      </c>
      <c r="E465" s="2">
        <v>1</v>
      </c>
      <c r="F465" s="2">
        <v>3</v>
      </c>
      <c r="G465" s="2" t="s">
        <v>8</v>
      </c>
      <c r="H465" s="2">
        <v>1</v>
      </c>
      <c r="I465" s="2">
        <v>1</v>
      </c>
      <c r="J465" s="2">
        <v>1</v>
      </c>
      <c r="K465" s="2">
        <v>2</v>
      </c>
      <c r="L465" s="2" t="b">
        <f t="shared" si="35"/>
        <v>0</v>
      </c>
    </row>
    <row r="466" spans="2:12">
      <c r="B466" s="2">
        <v>5</v>
      </c>
      <c r="C466" s="2">
        <v>1</v>
      </c>
      <c r="D466" s="2">
        <v>1</v>
      </c>
      <c r="E466" s="2">
        <v>1</v>
      </c>
      <c r="F466" s="2">
        <v>2</v>
      </c>
      <c r="G466" s="2" t="s">
        <v>8</v>
      </c>
      <c r="H466" s="2">
        <v>3</v>
      </c>
      <c r="I466" s="2">
        <v>1</v>
      </c>
      <c r="J466" s="2">
        <v>1</v>
      </c>
      <c r="K466" s="2">
        <v>2</v>
      </c>
      <c r="L466" s="2" t="b">
        <f t="shared" si="35"/>
        <v>0</v>
      </c>
    </row>
    <row r="467" spans="2:12">
      <c r="B467" s="2">
        <v>3</v>
      </c>
      <c r="C467" s="2">
        <v>1</v>
      </c>
      <c r="D467" s="2">
        <v>4</v>
      </c>
      <c r="E467" s="2">
        <v>1</v>
      </c>
      <c r="F467" s="2">
        <v>2</v>
      </c>
      <c r="G467" s="2" t="s">
        <v>8</v>
      </c>
      <c r="H467" s="2">
        <v>3</v>
      </c>
      <c r="I467" s="2">
        <v>1</v>
      </c>
      <c r="J467" s="2">
        <v>1</v>
      </c>
      <c r="K467" s="2">
        <v>2</v>
      </c>
      <c r="L467" s="2" t="b">
        <f t="shared" si="35"/>
        <v>0</v>
      </c>
    </row>
    <row r="468" spans="2:12">
      <c r="B468" s="2">
        <v>3</v>
      </c>
      <c r="C468" s="2">
        <v>1</v>
      </c>
      <c r="D468" s="2">
        <v>1</v>
      </c>
      <c r="E468" s="2">
        <v>1</v>
      </c>
      <c r="F468" s="2">
        <v>2</v>
      </c>
      <c r="G468" s="2" t="s">
        <v>8</v>
      </c>
      <c r="H468" s="2">
        <v>3</v>
      </c>
      <c r="I468" s="2">
        <v>1</v>
      </c>
      <c r="J468" s="2">
        <v>1</v>
      </c>
      <c r="K468" s="2">
        <v>2</v>
      </c>
      <c r="L468" s="2" t="b">
        <f t="shared" si="35"/>
        <v>0</v>
      </c>
    </row>
    <row r="469" spans="2:12">
      <c r="B469" s="2">
        <v>3</v>
      </c>
      <c r="C469" s="2">
        <v>1</v>
      </c>
      <c r="D469" s="2">
        <v>3</v>
      </c>
      <c r="E469" s="2">
        <v>1</v>
      </c>
      <c r="F469" s="2">
        <v>2</v>
      </c>
      <c r="G469" s="2" t="s">
        <v>8</v>
      </c>
      <c r="H469" s="2">
        <v>2</v>
      </c>
      <c r="I469" s="2">
        <v>1</v>
      </c>
      <c r="J469" s="2">
        <v>1</v>
      </c>
      <c r="K469" s="2">
        <v>2</v>
      </c>
      <c r="L469" s="2" t="b">
        <f t="shared" si="35"/>
        <v>0</v>
      </c>
    </row>
    <row r="470" spans="2:12">
      <c r="B470" s="2">
        <v>1</v>
      </c>
      <c r="C470" s="2">
        <v>1</v>
      </c>
      <c r="D470" s="2">
        <v>1</v>
      </c>
      <c r="E470" s="2">
        <v>1</v>
      </c>
      <c r="F470" s="2">
        <v>2</v>
      </c>
      <c r="G470" s="2" t="s">
        <v>8</v>
      </c>
      <c r="H470" s="2">
        <v>2</v>
      </c>
      <c r="I470" s="2">
        <v>1</v>
      </c>
      <c r="J470" s="2">
        <v>1</v>
      </c>
      <c r="K470" s="2">
        <v>2</v>
      </c>
      <c r="L470" s="2" t="b">
        <f t="shared" si="35"/>
        <v>0</v>
      </c>
    </row>
    <row r="471" spans="2:12">
      <c r="B471" s="2">
        <v>3</v>
      </c>
      <c r="C471" s="2">
        <v>1</v>
      </c>
      <c r="D471" s="2">
        <v>1</v>
      </c>
      <c r="E471" s="2">
        <v>1</v>
      </c>
      <c r="F471" s="2">
        <v>2</v>
      </c>
      <c r="G471" s="2" t="s">
        <v>8</v>
      </c>
      <c r="H471" s="2">
        <v>3</v>
      </c>
      <c r="I471" s="2">
        <v>1</v>
      </c>
      <c r="J471" s="2">
        <v>1</v>
      </c>
      <c r="K471" s="2">
        <v>2</v>
      </c>
      <c r="L471" s="2" t="b">
        <f t="shared" si="35"/>
        <v>0</v>
      </c>
    </row>
    <row r="472" spans="2:12">
      <c r="B472" s="2">
        <v>1</v>
      </c>
      <c r="C472" s="2">
        <v>1</v>
      </c>
      <c r="D472" s="2">
        <v>1</v>
      </c>
      <c r="E472" s="2">
        <v>1</v>
      </c>
      <c r="F472" s="2">
        <v>1</v>
      </c>
      <c r="G472" s="2" t="s">
        <v>8</v>
      </c>
      <c r="H472" s="2">
        <v>2</v>
      </c>
      <c r="I472" s="2">
        <v>1</v>
      </c>
      <c r="J472" s="2">
        <v>1</v>
      </c>
      <c r="K472" s="2">
        <v>2</v>
      </c>
      <c r="L472" s="2" t="b">
        <f t="shared" si="35"/>
        <v>0</v>
      </c>
    </row>
    <row r="473" spans="2:12">
      <c r="B473" s="2">
        <v>1</v>
      </c>
      <c r="C473" s="2">
        <v>1</v>
      </c>
      <c r="D473" s="2">
        <v>1</v>
      </c>
      <c r="E473" s="2">
        <v>1</v>
      </c>
      <c r="F473" s="2">
        <v>1</v>
      </c>
      <c r="G473" s="2" t="s">
        <v>8</v>
      </c>
      <c r="H473" s="2">
        <v>1</v>
      </c>
      <c r="I473" s="2">
        <v>1</v>
      </c>
      <c r="J473" s="2">
        <v>1</v>
      </c>
      <c r="K473" s="2">
        <v>2</v>
      </c>
      <c r="L473" s="2" t="b">
        <f t="shared" si="35"/>
        <v>0</v>
      </c>
    </row>
    <row r="474" spans="2:12">
      <c r="B474" s="2">
        <v>4</v>
      </c>
      <c r="C474" s="2">
        <v>2</v>
      </c>
      <c r="D474" s="2">
        <v>1</v>
      </c>
      <c r="E474" s="2">
        <v>1</v>
      </c>
      <c r="F474" s="2">
        <v>2</v>
      </c>
      <c r="G474" s="2">
        <v>1</v>
      </c>
      <c r="H474" s="2">
        <v>2</v>
      </c>
      <c r="I474" s="2">
        <v>1</v>
      </c>
      <c r="J474" s="2">
        <v>1</v>
      </c>
      <c r="K474" s="2">
        <v>2</v>
      </c>
      <c r="L474" s="2" t="b">
        <f t="shared" ref="L474:L537" si="36">IF(K474=4, TRUE, FALSE)</f>
        <v>0</v>
      </c>
    </row>
    <row r="475" spans="2:12">
      <c r="B475" s="2">
        <v>5</v>
      </c>
      <c r="C475" s="2">
        <v>2</v>
      </c>
      <c r="D475" s="2">
        <v>3</v>
      </c>
      <c r="E475" s="2">
        <v>4</v>
      </c>
      <c r="F475" s="2">
        <v>2</v>
      </c>
      <c r="G475" s="2">
        <v>7</v>
      </c>
      <c r="H475" s="2">
        <v>3</v>
      </c>
      <c r="I475" s="2">
        <v>6</v>
      </c>
      <c r="J475" s="2">
        <v>1</v>
      </c>
      <c r="K475" s="2">
        <v>4</v>
      </c>
      <c r="L475" s="2" t="b">
        <f t="shared" si="36"/>
        <v>1</v>
      </c>
    </row>
    <row r="476" spans="2:12">
      <c r="B476" s="2">
        <v>3</v>
      </c>
      <c r="C476" s="2">
        <v>2</v>
      </c>
      <c r="D476" s="2">
        <v>1</v>
      </c>
      <c r="E476" s="2">
        <v>1</v>
      </c>
      <c r="F476" s="2">
        <v>1</v>
      </c>
      <c r="G476" s="2">
        <v>1</v>
      </c>
      <c r="H476" s="2">
        <v>2</v>
      </c>
      <c r="I476" s="2">
        <v>1</v>
      </c>
      <c r="J476" s="2">
        <v>1</v>
      </c>
      <c r="K476" s="2">
        <v>2</v>
      </c>
      <c r="L476" s="2" t="b">
        <f t="shared" si="36"/>
        <v>0</v>
      </c>
    </row>
    <row r="477" spans="2:12">
      <c r="B477" s="2">
        <v>6</v>
      </c>
      <c r="C477" s="2">
        <v>2</v>
      </c>
      <c r="D477" s="2">
        <v>1</v>
      </c>
      <c r="E477" s="2">
        <v>1</v>
      </c>
      <c r="F477" s="2">
        <v>1</v>
      </c>
      <c r="G477" s="2">
        <v>1</v>
      </c>
      <c r="H477" s="2">
        <v>7</v>
      </c>
      <c r="I477" s="2">
        <v>1</v>
      </c>
      <c r="J477" s="2">
        <v>1</v>
      </c>
      <c r="K477" s="2">
        <v>2</v>
      </c>
      <c r="L477" s="2" t="b">
        <f t="shared" si="36"/>
        <v>0</v>
      </c>
    </row>
    <row r="478" spans="2:12">
      <c r="B478" s="2">
        <v>8</v>
      </c>
      <c r="C478" s="2">
        <v>2</v>
      </c>
      <c r="D478" s="2">
        <v>4</v>
      </c>
      <c r="E478" s="2">
        <v>1</v>
      </c>
      <c r="F478" s="2">
        <v>5</v>
      </c>
      <c r="G478" s="2">
        <v>1</v>
      </c>
      <c r="H478" s="2">
        <v>5</v>
      </c>
      <c r="I478" s="2">
        <v>4</v>
      </c>
      <c r="J478" s="2">
        <v>4</v>
      </c>
      <c r="K478" s="2">
        <v>4</v>
      </c>
      <c r="L478" s="2" t="b">
        <f t="shared" si="36"/>
        <v>1</v>
      </c>
    </row>
    <row r="479" spans="2:12">
      <c r="B479" s="2">
        <v>5</v>
      </c>
      <c r="C479" s="2">
        <v>2</v>
      </c>
      <c r="D479" s="2">
        <v>3</v>
      </c>
      <c r="E479" s="2">
        <v>1</v>
      </c>
      <c r="F479" s="2">
        <v>6</v>
      </c>
      <c r="G479" s="2">
        <v>10</v>
      </c>
      <c r="H479" s="2">
        <v>5</v>
      </c>
      <c r="I479" s="2">
        <v>1</v>
      </c>
      <c r="J479" s="2">
        <v>1</v>
      </c>
      <c r="K479" s="2">
        <v>4</v>
      </c>
      <c r="L479" s="2" t="b">
        <f t="shared" si="36"/>
        <v>1</v>
      </c>
    </row>
    <row r="480" spans="2:12">
      <c r="B480" s="2">
        <v>2</v>
      </c>
      <c r="C480" s="2">
        <v>2</v>
      </c>
      <c r="D480" s="2">
        <v>2</v>
      </c>
      <c r="E480" s="2">
        <v>1</v>
      </c>
      <c r="F480" s="2">
        <v>1</v>
      </c>
      <c r="G480" s="2">
        <v>1</v>
      </c>
      <c r="H480" s="2">
        <v>7</v>
      </c>
      <c r="I480" s="2">
        <v>1</v>
      </c>
      <c r="J480" s="2">
        <v>1</v>
      </c>
      <c r="K480" s="2">
        <v>2</v>
      </c>
      <c r="L480" s="2" t="b">
        <f t="shared" si="36"/>
        <v>0</v>
      </c>
    </row>
    <row r="481" spans="2:12">
      <c r="B481" s="2">
        <v>5</v>
      </c>
      <c r="C481" s="2">
        <v>2</v>
      </c>
      <c r="D481" s="2">
        <v>1</v>
      </c>
      <c r="E481" s="2">
        <v>1</v>
      </c>
      <c r="F481" s="2">
        <v>2</v>
      </c>
      <c r="G481" s="2">
        <v>1</v>
      </c>
      <c r="H481" s="2">
        <v>3</v>
      </c>
      <c r="I481" s="2">
        <v>1</v>
      </c>
      <c r="J481" s="2">
        <v>1</v>
      </c>
      <c r="K481" s="2">
        <v>2</v>
      </c>
      <c r="L481" s="2" t="b">
        <f t="shared" si="36"/>
        <v>0</v>
      </c>
    </row>
    <row r="482" spans="2:12">
      <c r="B482" s="2">
        <v>8</v>
      </c>
      <c r="C482" s="2">
        <v>2</v>
      </c>
      <c r="D482" s="2">
        <v>3</v>
      </c>
      <c r="E482" s="2">
        <v>1</v>
      </c>
      <c r="F482" s="2">
        <v>6</v>
      </c>
      <c r="G482" s="2">
        <v>3</v>
      </c>
      <c r="H482" s="2">
        <v>7</v>
      </c>
      <c r="I482" s="2">
        <v>1</v>
      </c>
      <c r="J482" s="2">
        <v>1</v>
      </c>
      <c r="K482" s="2">
        <v>4</v>
      </c>
      <c r="L482" s="2" t="b">
        <f t="shared" si="36"/>
        <v>1</v>
      </c>
    </row>
    <row r="483" spans="2:12">
      <c r="B483" s="2">
        <v>3</v>
      </c>
      <c r="C483" s="2">
        <v>2</v>
      </c>
      <c r="D483" s="2">
        <v>1</v>
      </c>
      <c r="E483" s="2">
        <v>1</v>
      </c>
      <c r="F483" s="2">
        <v>2</v>
      </c>
      <c r="G483" s="2">
        <v>2</v>
      </c>
      <c r="H483" s="2">
        <v>3</v>
      </c>
      <c r="I483" s="2">
        <v>1</v>
      </c>
      <c r="J483" s="2">
        <v>1</v>
      </c>
      <c r="K483" s="2">
        <v>2</v>
      </c>
      <c r="L483" s="2" t="b">
        <f t="shared" si="36"/>
        <v>0</v>
      </c>
    </row>
    <row r="484" spans="2:12">
      <c r="B484" s="2">
        <v>4</v>
      </c>
      <c r="C484" s="2">
        <v>2</v>
      </c>
      <c r="D484" s="2">
        <v>1</v>
      </c>
      <c r="E484" s="2">
        <v>1</v>
      </c>
      <c r="F484" s="2">
        <v>2</v>
      </c>
      <c r="G484" s="2">
        <v>2</v>
      </c>
      <c r="H484" s="2">
        <v>3</v>
      </c>
      <c r="I484" s="2">
        <v>1</v>
      </c>
      <c r="J484" s="2">
        <v>1</v>
      </c>
      <c r="K484" s="2">
        <v>2</v>
      </c>
      <c r="L484" s="2" t="b">
        <f t="shared" si="36"/>
        <v>0</v>
      </c>
    </row>
    <row r="485" spans="2:12">
      <c r="B485" s="2">
        <v>7</v>
      </c>
      <c r="C485" s="2">
        <v>2</v>
      </c>
      <c r="D485" s="2">
        <v>4</v>
      </c>
      <c r="E485" s="2">
        <v>1</v>
      </c>
      <c r="F485" s="2">
        <v>6</v>
      </c>
      <c r="G485" s="2">
        <v>10</v>
      </c>
      <c r="H485" s="2">
        <v>5</v>
      </c>
      <c r="I485" s="2">
        <v>4</v>
      </c>
      <c r="J485" s="2">
        <v>3</v>
      </c>
      <c r="K485" s="2">
        <v>4</v>
      </c>
      <c r="L485" s="2" t="b">
        <f t="shared" si="36"/>
        <v>1</v>
      </c>
    </row>
    <row r="486" spans="2:12">
      <c r="B486" s="2">
        <v>1</v>
      </c>
      <c r="C486" s="2">
        <v>2</v>
      </c>
      <c r="D486" s="2">
        <v>2</v>
      </c>
      <c r="E486" s="2">
        <v>1</v>
      </c>
      <c r="F486" s="2">
        <v>2</v>
      </c>
      <c r="G486" s="2">
        <v>1</v>
      </c>
      <c r="H486" s="2">
        <v>2</v>
      </c>
      <c r="I486" s="2">
        <v>1</v>
      </c>
      <c r="J486" s="2">
        <v>1</v>
      </c>
      <c r="K486" s="2">
        <v>2</v>
      </c>
      <c r="L486" s="2" t="b">
        <f t="shared" si="36"/>
        <v>0</v>
      </c>
    </row>
    <row r="487" spans="2:12">
      <c r="B487" s="2">
        <v>1</v>
      </c>
      <c r="C487" s="2">
        <v>2</v>
      </c>
      <c r="D487" s="2">
        <v>3</v>
      </c>
      <c r="E487" s="2">
        <v>1</v>
      </c>
      <c r="F487" s="2">
        <v>2</v>
      </c>
      <c r="G487" s="2">
        <v>1</v>
      </c>
      <c r="H487" s="2">
        <v>3</v>
      </c>
      <c r="I487" s="2">
        <v>1</v>
      </c>
      <c r="J487" s="2">
        <v>1</v>
      </c>
      <c r="K487" s="2">
        <v>2</v>
      </c>
      <c r="L487" s="2" t="b">
        <f t="shared" si="36"/>
        <v>0</v>
      </c>
    </row>
    <row r="488" spans="2:12">
      <c r="B488" s="2">
        <v>1</v>
      </c>
      <c r="C488" s="2">
        <v>2</v>
      </c>
      <c r="D488" s="2">
        <v>2</v>
      </c>
      <c r="E488" s="2">
        <v>1</v>
      </c>
      <c r="F488" s="2">
        <v>2</v>
      </c>
      <c r="G488" s="2">
        <v>1</v>
      </c>
      <c r="H488" s="2">
        <v>1</v>
      </c>
      <c r="I488" s="2">
        <v>1</v>
      </c>
      <c r="J488" s="2">
        <v>1</v>
      </c>
      <c r="K488" s="2">
        <v>2</v>
      </c>
      <c r="L488" s="2" t="b">
        <f t="shared" si="36"/>
        <v>0</v>
      </c>
    </row>
    <row r="489" spans="2:12">
      <c r="B489" s="2">
        <v>7</v>
      </c>
      <c r="C489" s="2">
        <v>2</v>
      </c>
      <c r="D489" s="2">
        <v>4</v>
      </c>
      <c r="E489" s="2">
        <v>1</v>
      </c>
      <c r="F489" s="2">
        <v>3</v>
      </c>
      <c r="G489" s="2">
        <v>4</v>
      </c>
      <c r="H489" s="2">
        <v>3</v>
      </c>
      <c r="I489" s="2">
        <v>3</v>
      </c>
      <c r="J489" s="2">
        <v>1</v>
      </c>
      <c r="K489" s="2">
        <v>4</v>
      </c>
      <c r="L489" s="2" t="b">
        <f t="shared" si="36"/>
        <v>1</v>
      </c>
    </row>
    <row r="490" spans="2:12">
      <c r="B490" s="2">
        <v>8</v>
      </c>
      <c r="C490" s="2">
        <v>2</v>
      </c>
      <c r="D490" s="2">
        <v>1</v>
      </c>
      <c r="E490" s="2">
        <v>1</v>
      </c>
      <c r="F490" s="2">
        <v>5</v>
      </c>
      <c r="G490" s="2">
        <v>1</v>
      </c>
      <c r="H490" s="2">
        <v>1</v>
      </c>
      <c r="I490" s="2">
        <v>1</v>
      </c>
      <c r="J490" s="2">
        <v>1</v>
      </c>
      <c r="K490" s="2">
        <v>2</v>
      </c>
      <c r="L490" s="2" t="b">
        <f t="shared" si="36"/>
        <v>0</v>
      </c>
    </row>
    <row r="491" spans="2:12">
      <c r="B491" s="2">
        <v>3</v>
      </c>
      <c r="C491" s="2">
        <v>2</v>
      </c>
      <c r="D491" s="2">
        <v>2</v>
      </c>
      <c r="E491" s="2">
        <v>1</v>
      </c>
      <c r="F491" s="2">
        <v>2</v>
      </c>
      <c r="G491" s="2">
        <v>1</v>
      </c>
      <c r="H491" s="2">
        <v>2</v>
      </c>
      <c r="I491" s="2">
        <v>3</v>
      </c>
      <c r="J491" s="2">
        <v>1</v>
      </c>
      <c r="K491" s="2">
        <v>2</v>
      </c>
      <c r="L491" s="2" t="b">
        <f t="shared" si="36"/>
        <v>0</v>
      </c>
    </row>
    <row r="492" spans="2:12">
      <c r="B492" s="2">
        <v>5</v>
      </c>
      <c r="C492" s="2">
        <v>2</v>
      </c>
      <c r="D492" s="2">
        <v>2</v>
      </c>
      <c r="E492" s="2">
        <v>2</v>
      </c>
      <c r="F492" s="2">
        <v>2</v>
      </c>
      <c r="G492" s="2">
        <v>1</v>
      </c>
      <c r="H492" s="2">
        <v>2</v>
      </c>
      <c r="I492" s="2">
        <v>2</v>
      </c>
      <c r="J492" s="2">
        <v>1</v>
      </c>
      <c r="K492" s="2">
        <v>2</v>
      </c>
      <c r="L492" s="2" t="b">
        <f t="shared" si="36"/>
        <v>0</v>
      </c>
    </row>
    <row r="493" spans="2:12">
      <c r="B493" s="2">
        <v>5</v>
      </c>
      <c r="C493" s="2">
        <v>2</v>
      </c>
      <c r="D493" s="2">
        <v>2</v>
      </c>
      <c r="E493" s="2">
        <v>2</v>
      </c>
      <c r="F493" s="2">
        <v>3</v>
      </c>
      <c r="G493" s="2">
        <v>1</v>
      </c>
      <c r="H493" s="2">
        <v>1</v>
      </c>
      <c r="I493" s="2">
        <v>3</v>
      </c>
      <c r="J493" s="2">
        <v>1</v>
      </c>
      <c r="K493" s="2">
        <v>2</v>
      </c>
      <c r="L493" s="2" t="b">
        <f t="shared" si="36"/>
        <v>0</v>
      </c>
    </row>
    <row r="494" spans="2:12">
      <c r="B494" s="2">
        <v>4</v>
      </c>
      <c r="C494" s="2">
        <v>2</v>
      </c>
      <c r="D494" s="2">
        <v>3</v>
      </c>
      <c r="E494" s="2">
        <v>5</v>
      </c>
      <c r="F494" s="2">
        <v>3</v>
      </c>
      <c r="G494" s="2">
        <v>8</v>
      </c>
      <c r="H494" s="2">
        <v>7</v>
      </c>
      <c r="I494" s="2">
        <v>6</v>
      </c>
      <c r="J494" s="2">
        <v>1</v>
      </c>
      <c r="K494" s="2">
        <v>4</v>
      </c>
      <c r="L494" s="2" t="b">
        <f t="shared" si="36"/>
        <v>1</v>
      </c>
    </row>
    <row r="495" spans="2:12">
      <c r="B495" s="2">
        <v>3</v>
      </c>
      <c r="C495" s="2">
        <v>2</v>
      </c>
      <c r="D495" s="2">
        <v>2</v>
      </c>
      <c r="E495" s="2">
        <v>1</v>
      </c>
      <c r="F495" s="2">
        <v>4</v>
      </c>
      <c r="G495" s="2">
        <v>3</v>
      </c>
      <c r="H495" s="2">
        <v>2</v>
      </c>
      <c r="I495" s="2">
        <v>1</v>
      </c>
      <c r="J495" s="2">
        <v>1</v>
      </c>
      <c r="K495" s="2">
        <v>2</v>
      </c>
      <c r="L495" s="2" t="b">
        <f t="shared" si="36"/>
        <v>0</v>
      </c>
    </row>
    <row r="496" spans="2:12">
      <c r="B496" s="2">
        <v>3</v>
      </c>
      <c r="C496" s="2">
        <v>2</v>
      </c>
      <c r="D496" s="2">
        <v>2</v>
      </c>
      <c r="E496" s="2">
        <v>2</v>
      </c>
      <c r="F496" s="2">
        <v>2</v>
      </c>
      <c r="G496" s="2">
        <v>1</v>
      </c>
      <c r="H496" s="2">
        <v>3</v>
      </c>
      <c r="I496" s="2">
        <v>2</v>
      </c>
      <c r="J496" s="2">
        <v>1</v>
      </c>
      <c r="K496" s="2">
        <v>2</v>
      </c>
      <c r="L496" s="2" t="b">
        <f t="shared" si="36"/>
        <v>0</v>
      </c>
    </row>
    <row r="497" spans="2:12">
      <c r="B497" s="2">
        <v>1</v>
      </c>
      <c r="C497" s="2">
        <v>2</v>
      </c>
      <c r="D497" s="2">
        <v>3</v>
      </c>
      <c r="E497" s="2">
        <v>1</v>
      </c>
      <c r="F497" s="2">
        <v>2</v>
      </c>
      <c r="G497" s="2">
        <v>1</v>
      </c>
      <c r="H497" s="2">
        <v>2</v>
      </c>
      <c r="I497" s="2">
        <v>1</v>
      </c>
      <c r="J497" s="2">
        <v>1</v>
      </c>
      <c r="K497" s="2">
        <v>2</v>
      </c>
      <c r="L497" s="2" t="b">
        <f t="shared" si="36"/>
        <v>0</v>
      </c>
    </row>
    <row r="498" spans="2:12">
      <c r="B498" s="2">
        <v>3</v>
      </c>
      <c r="C498" s="2">
        <v>2</v>
      </c>
      <c r="D498" s="2">
        <v>1</v>
      </c>
      <c r="E498" s="2">
        <v>1</v>
      </c>
      <c r="F498" s="2">
        <v>2</v>
      </c>
      <c r="G498" s="2">
        <v>1</v>
      </c>
      <c r="H498" s="2">
        <v>2</v>
      </c>
      <c r="I498" s="2">
        <v>2</v>
      </c>
      <c r="J498" s="2">
        <v>1</v>
      </c>
      <c r="K498" s="2">
        <v>2</v>
      </c>
      <c r="L498" s="2" t="b">
        <f t="shared" si="36"/>
        <v>0</v>
      </c>
    </row>
    <row r="499" spans="2:12">
      <c r="B499" s="2">
        <v>1</v>
      </c>
      <c r="C499" s="2">
        <v>2</v>
      </c>
      <c r="D499" s="2">
        <v>3</v>
      </c>
      <c r="E499" s="2">
        <v>1</v>
      </c>
      <c r="F499" s="2">
        <v>2</v>
      </c>
      <c r="G499" s="2">
        <v>1</v>
      </c>
      <c r="H499" s="2">
        <v>1</v>
      </c>
      <c r="I499" s="2">
        <v>1</v>
      </c>
      <c r="J499" s="2">
        <v>1</v>
      </c>
      <c r="K499" s="2">
        <v>2</v>
      </c>
      <c r="L499" s="2" t="b">
        <f t="shared" si="36"/>
        <v>0</v>
      </c>
    </row>
    <row r="500" spans="2:12">
      <c r="B500" s="2">
        <v>1</v>
      </c>
      <c r="C500" s="2">
        <v>2</v>
      </c>
      <c r="D500" s="2">
        <v>1</v>
      </c>
      <c r="E500" s="2">
        <v>3</v>
      </c>
      <c r="F500" s="2">
        <v>2</v>
      </c>
      <c r="G500" s="2">
        <v>1</v>
      </c>
      <c r="H500" s="2">
        <v>1</v>
      </c>
      <c r="I500" s="2">
        <v>2</v>
      </c>
      <c r="J500" s="2">
        <v>1</v>
      </c>
      <c r="K500" s="2">
        <v>2</v>
      </c>
      <c r="L500" s="2" t="b">
        <f t="shared" si="36"/>
        <v>0</v>
      </c>
    </row>
    <row r="501" spans="2:12">
      <c r="B501" s="2">
        <v>4</v>
      </c>
      <c r="C501" s="2">
        <v>2</v>
      </c>
      <c r="D501" s="2">
        <v>2</v>
      </c>
      <c r="E501" s="2">
        <v>1</v>
      </c>
      <c r="F501" s="2">
        <v>2</v>
      </c>
      <c r="G501" s="2">
        <v>1</v>
      </c>
      <c r="H501" s="2">
        <v>2</v>
      </c>
      <c r="I501" s="2">
        <v>1</v>
      </c>
      <c r="J501" s="2">
        <v>1</v>
      </c>
      <c r="K501" s="2">
        <v>2</v>
      </c>
      <c r="L501" s="2" t="b">
        <f t="shared" si="36"/>
        <v>0</v>
      </c>
    </row>
    <row r="502" spans="2:12">
      <c r="B502" s="2">
        <v>5</v>
      </c>
      <c r="C502" s="2">
        <v>2</v>
      </c>
      <c r="D502" s="2">
        <v>2</v>
      </c>
      <c r="E502" s="2">
        <v>2</v>
      </c>
      <c r="F502" s="2">
        <v>2</v>
      </c>
      <c r="G502" s="2">
        <v>2</v>
      </c>
      <c r="H502" s="2">
        <v>3</v>
      </c>
      <c r="I502" s="2">
        <v>2</v>
      </c>
      <c r="J502" s="2">
        <v>2</v>
      </c>
      <c r="K502" s="2">
        <v>2</v>
      </c>
      <c r="L502" s="2" t="b">
        <f t="shared" si="36"/>
        <v>0</v>
      </c>
    </row>
    <row r="503" spans="2:12">
      <c r="B503" s="2">
        <v>3</v>
      </c>
      <c r="C503" s="2">
        <v>2</v>
      </c>
      <c r="D503" s="2">
        <v>2</v>
      </c>
      <c r="E503" s="2">
        <v>3</v>
      </c>
      <c r="F503" s="2">
        <v>2</v>
      </c>
      <c r="G503" s="2">
        <v>3</v>
      </c>
      <c r="H503" s="2">
        <v>3</v>
      </c>
      <c r="I503" s="2">
        <v>1</v>
      </c>
      <c r="J503" s="2">
        <v>1</v>
      </c>
      <c r="K503" s="2">
        <v>2</v>
      </c>
      <c r="L503" s="2" t="b">
        <f t="shared" si="36"/>
        <v>0</v>
      </c>
    </row>
    <row r="504" spans="2:12">
      <c r="B504" s="2">
        <v>3</v>
      </c>
      <c r="C504" s="2">
        <v>2</v>
      </c>
      <c r="D504" s="2">
        <v>2</v>
      </c>
      <c r="E504" s="2">
        <v>3</v>
      </c>
      <c r="F504" s="2">
        <v>2</v>
      </c>
      <c r="G504" s="2">
        <v>1</v>
      </c>
      <c r="H504" s="2">
        <v>1</v>
      </c>
      <c r="I504" s="2">
        <v>1</v>
      </c>
      <c r="J504" s="2">
        <v>1</v>
      </c>
      <c r="K504" s="2">
        <v>2</v>
      </c>
      <c r="L504" s="2" t="b">
        <f t="shared" si="36"/>
        <v>0</v>
      </c>
    </row>
    <row r="505" spans="2:12">
      <c r="B505" s="2">
        <v>5</v>
      </c>
      <c r="C505" s="2">
        <v>2</v>
      </c>
      <c r="D505" s="2">
        <v>2</v>
      </c>
      <c r="E505" s="2">
        <v>4</v>
      </c>
      <c r="F505" s="2">
        <v>2</v>
      </c>
      <c r="G505" s="2">
        <v>4</v>
      </c>
      <c r="H505" s="2">
        <v>1</v>
      </c>
      <c r="I505" s="2">
        <v>1</v>
      </c>
      <c r="J505" s="2">
        <v>1</v>
      </c>
      <c r="K505" s="2">
        <v>2</v>
      </c>
      <c r="L505" s="2" t="b">
        <f t="shared" si="36"/>
        <v>0</v>
      </c>
    </row>
    <row r="506" spans="2:12">
      <c r="B506" s="2">
        <v>10</v>
      </c>
      <c r="C506" s="2">
        <v>2</v>
      </c>
      <c r="D506" s="2">
        <v>2</v>
      </c>
      <c r="E506" s="2">
        <v>1</v>
      </c>
      <c r="F506" s="2">
        <v>2</v>
      </c>
      <c r="G506" s="2">
        <v>6</v>
      </c>
      <c r="H506" s="2">
        <v>1</v>
      </c>
      <c r="I506" s="2">
        <v>1</v>
      </c>
      <c r="J506" s="2">
        <v>2</v>
      </c>
      <c r="K506" s="2">
        <v>4</v>
      </c>
      <c r="L506" s="2" t="b">
        <f t="shared" si="36"/>
        <v>1</v>
      </c>
    </row>
    <row r="507" spans="2:12">
      <c r="B507" s="2">
        <v>5</v>
      </c>
      <c r="C507" s="2">
        <v>2</v>
      </c>
      <c r="D507" s="2">
        <v>1</v>
      </c>
      <c r="E507" s="2">
        <v>1</v>
      </c>
      <c r="F507" s="2">
        <v>2</v>
      </c>
      <c r="G507" s="2">
        <v>1</v>
      </c>
      <c r="H507" s="2">
        <v>1</v>
      </c>
      <c r="I507" s="2">
        <v>1</v>
      </c>
      <c r="J507" s="2">
        <v>1</v>
      </c>
      <c r="K507" s="2">
        <v>2</v>
      </c>
      <c r="L507" s="2" t="b">
        <f t="shared" si="36"/>
        <v>0</v>
      </c>
    </row>
    <row r="508" spans="2:12">
      <c r="B508" s="2">
        <v>4</v>
      </c>
      <c r="C508" s="2">
        <v>2</v>
      </c>
      <c r="D508" s="2">
        <v>1</v>
      </c>
      <c r="E508" s="2">
        <v>1</v>
      </c>
      <c r="F508" s="2">
        <v>2</v>
      </c>
      <c r="G508" s="2">
        <v>1</v>
      </c>
      <c r="H508" s="2">
        <v>1</v>
      </c>
      <c r="I508" s="2">
        <v>1</v>
      </c>
      <c r="J508" s="2">
        <v>1</v>
      </c>
      <c r="K508" s="2">
        <v>2</v>
      </c>
      <c r="L508" s="2" t="b">
        <f t="shared" si="36"/>
        <v>0</v>
      </c>
    </row>
    <row r="509" spans="2:12">
      <c r="B509" s="2">
        <v>4</v>
      </c>
      <c r="C509" s="2">
        <v>2</v>
      </c>
      <c r="D509" s="2">
        <v>2</v>
      </c>
      <c r="E509" s="2">
        <v>1</v>
      </c>
      <c r="F509" s="2">
        <v>2</v>
      </c>
      <c r="G509" s="2">
        <v>1</v>
      </c>
      <c r="H509" s="2">
        <v>2</v>
      </c>
      <c r="I509" s="2">
        <v>1</v>
      </c>
      <c r="J509" s="2">
        <v>1</v>
      </c>
      <c r="K509" s="2">
        <v>2</v>
      </c>
      <c r="L509" s="2" t="b">
        <f t="shared" si="36"/>
        <v>0</v>
      </c>
    </row>
    <row r="510" spans="2:12">
      <c r="B510" s="2">
        <v>3</v>
      </c>
      <c r="C510" s="2">
        <v>2</v>
      </c>
      <c r="D510" s="2">
        <v>2</v>
      </c>
      <c r="E510" s="2">
        <v>2</v>
      </c>
      <c r="F510" s="2">
        <v>2</v>
      </c>
      <c r="G510" s="2">
        <v>1</v>
      </c>
      <c r="H510" s="2">
        <v>4</v>
      </c>
      <c r="I510" s="2">
        <v>2</v>
      </c>
      <c r="J510" s="2">
        <v>1</v>
      </c>
      <c r="K510" s="2">
        <v>2</v>
      </c>
      <c r="L510" s="2" t="b">
        <f t="shared" si="36"/>
        <v>0</v>
      </c>
    </row>
    <row r="511" spans="2:12">
      <c r="B511" s="2">
        <v>5</v>
      </c>
      <c r="C511" s="2">
        <v>2</v>
      </c>
      <c r="D511" s="2">
        <v>2</v>
      </c>
      <c r="E511" s="2">
        <v>2</v>
      </c>
      <c r="F511" s="2">
        <v>1</v>
      </c>
      <c r="G511" s="2">
        <v>1</v>
      </c>
      <c r="H511" s="2">
        <v>2</v>
      </c>
      <c r="I511" s="2">
        <v>1</v>
      </c>
      <c r="J511" s="2">
        <v>1</v>
      </c>
      <c r="K511" s="2">
        <v>2</v>
      </c>
      <c r="L511" s="2" t="b">
        <f t="shared" si="36"/>
        <v>0</v>
      </c>
    </row>
    <row r="512" spans="2:12">
      <c r="B512" s="2">
        <v>5</v>
      </c>
      <c r="C512" s="2">
        <v>2</v>
      </c>
      <c r="D512" s="2">
        <v>4</v>
      </c>
      <c r="E512" s="2">
        <v>1</v>
      </c>
      <c r="F512" s="2">
        <v>1</v>
      </c>
      <c r="G512" s="2">
        <v>1</v>
      </c>
      <c r="H512" s="2">
        <v>1</v>
      </c>
      <c r="I512" s="2">
        <v>1</v>
      </c>
      <c r="J512" s="2">
        <v>1</v>
      </c>
      <c r="K512" s="2">
        <v>2</v>
      </c>
      <c r="L512" s="2" t="b">
        <f t="shared" si="36"/>
        <v>0</v>
      </c>
    </row>
    <row r="513" spans="2:12">
      <c r="B513" s="2">
        <v>6</v>
      </c>
      <c r="C513" s="2">
        <v>2</v>
      </c>
      <c r="D513" s="2">
        <v>3</v>
      </c>
      <c r="E513" s="2">
        <v>1</v>
      </c>
      <c r="F513" s="2">
        <v>2</v>
      </c>
      <c r="G513" s="2">
        <v>1</v>
      </c>
      <c r="H513" s="2">
        <v>1</v>
      </c>
      <c r="I513" s="2">
        <v>1</v>
      </c>
      <c r="J513" s="2">
        <v>1</v>
      </c>
      <c r="K513" s="2">
        <v>2</v>
      </c>
      <c r="L513" s="2" t="b">
        <f t="shared" si="36"/>
        <v>0</v>
      </c>
    </row>
    <row r="514" spans="2:12">
      <c r="B514" s="2">
        <v>4</v>
      </c>
      <c r="C514" s="2">
        <v>2</v>
      </c>
      <c r="D514" s="2">
        <v>4</v>
      </c>
      <c r="E514" s="2">
        <v>3</v>
      </c>
      <c r="F514" s="2">
        <v>2</v>
      </c>
      <c r="G514" s="2">
        <v>2</v>
      </c>
      <c r="H514" s="2">
        <v>2</v>
      </c>
      <c r="I514" s="2">
        <v>1</v>
      </c>
      <c r="J514" s="2">
        <v>1</v>
      </c>
      <c r="K514" s="2">
        <v>2</v>
      </c>
      <c r="L514" s="2" t="b">
        <f t="shared" si="36"/>
        <v>0</v>
      </c>
    </row>
    <row r="515" spans="2:12">
      <c r="B515" s="2">
        <v>1</v>
      </c>
      <c r="C515" s="2">
        <v>2</v>
      </c>
      <c r="D515" s="2">
        <v>2</v>
      </c>
      <c r="E515" s="2">
        <v>1</v>
      </c>
      <c r="F515" s="2">
        <v>2</v>
      </c>
      <c r="G515" s="2">
        <v>1</v>
      </c>
      <c r="H515" s="2">
        <v>1</v>
      </c>
      <c r="I515" s="2">
        <v>1</v>
      </c>
      <c r="J515" s="2">
        <v>1</v>
      </c>
      <c r="K515" s="2">
        <v>2</v>
      </c>
      <c r="L515" s="2" t="b">
        <f t="shared" si="36"/>
        <v>0</v>
      </c>
    </row>
    <row r="516" spans="2:12">
      <c r="B516" s="2">
        <v>1</v>
      </c>
      <c r="C516" s="2">
        <v>2</v>
      </c>
      <c r="D516" s="2">
        <v>1</v>
      </c>
      <c r="E516" s="2">
        <v>3</v>
      </c>
      <c r="F516" s="2">
        <v>2</v>
      </c>
      <c r="G516" s="2">
        <v>1</v>
      </c>
      <c r="H516" s="2">
        <v>2</v>
      </c>
      <c r="I516" s="2">
        <v>1</v>
      </c>
      <c r="J516" s="2">
        <v>1</v>
      </c>
      <c r="K516" s="2">
        <v>2</v>
      </c>
      <c r="L516" s="2" t="b">
        <f t="shared" si="36"/>
        <v>0</v>
      </c>
    </row>
    <row r="517" spans="2:12">
      <c r="B517" s="2">
        <v>5</v>
      </c>
      <c r="C517" s="2">
        <v>2</v>
      </c>
      <c r="D517" s="2">
        <v>2</v>
      </c>
      <c r="E517" s="2">
        <v>2</v>
      </c>
      <c r="F517" s="2">
        <v>2</v>
      </c>
      <c r="G517" s="2">
        <v>1</v>
      </c>
      <c r="H517" s="2">
        <v>1</v>
      </c>
      <c r="I517" s="2">
        <v>1</v>
      </c>
      <c r="J517" s="2">
        <v>2</v>
      </c>
      <c r="K517" s="2">
        <v>2</v>
      </c>
      <c r="L517" s="2" t="b">
        <f t="shared" si="36"/>
        <v>0</v>
      </c>
    </row>
    <row r="518" spans="2:12">
      <c r="B518" s="2">
        <v>3</v>
      </c>
      <c r="C518" s="2">
        <v>2</v>
      </c>
      <c r="D518" s="2">
        <v>1</v>
      </c>
      <c r="E518" s="2">
        <v>2</v>
      </c>
      <c r="F518" s="2">
        <v>2</v>
      </c>
      <c r="G518" s="2">
        <v>1</v>
      </c>
      <c r="H518" s="2">
        <v>3</v>
      </c>
      <c r="I518" s="2">
        <v>1</v>
      </c>
      <c r="J518" s="2">
        <v>1</v>
      </c>
      <c r="K518" s="2">
        <v>2</v>
      </c>
      <c r="L518" s="2" t="b">
        <f t="shared" si="36"/>
        <v>0</v>
      </c>
    </row>
    <row r="519" spans="2:12">
      <c r="B519" s="2">
        <v>5</v>
      </c>
      <c r="C519" s="2">
        <v>3</v>
      </c>
      <c r="D519" s="2">
        <v>3</v>
      </c>
      <c r="E519" s="2">
        <v>3</v>
      </c>
      <c r="F519" s="2">
        <v>2</v>
      </c>
      <c r="G519" s="2">
        <v>3</v>
      </c>
      <c r="H519" s="2">
        <v>4</v>
      </c>
      <c r="I519" s="2">
        <v>4</v>
      </c>
      <c r="J519" s="2">
        <v>1</v>
      </c>
      <c r="K519" s="2">
        <v>4</v>
      </c>
      <c r="L519" s="2" t="b">
        <f t="shared" si="36"/>
        <v>1</v>
      </c>
    </row>
    <row r="520" spans="2:12">
      <c r="B520" s="2">
        <v>7</v>
      </c>
      <c r="C520" s="2">
        <v>3</v>
      </c>
      <c r="D520" s="2">
        <v>2</v>
      </c>
      <c r="E520" s="2">
        <v>10</v>
      </c>
      <c r="F520" s="2">
        <v>5</v>
      </c>
      <c r="G520" s="2">
        <v>10</v>
      </c>
      <c r="H520" s="2">
        <v>5</v>
      </c>
      <c r="I520" s="2">
        <v>4</v>
      </c>
      <c r="J520" s="2">
        <v>4</v>
      </c>
      <c r="K520" s="2">
        <v>4</v>
      </c>
      <c r="L520" s="2" t="b">
        <f t="shared" si="36"/>
        <v>1</v>
      </c>
    </row>
    <row r="521" spans="2:12">
      <c r="B521" s="2">
        <v>5</v>
      </c>
      <c r="C521" s="2">
        <v>3</v>
      </c>
      <c r="D521" s="2">
        <v>3</v>
      </c>
      <c r="E521" s="2">
        <v>4</v>
      </c>
      <c r="F521" s="2">
        <v>2</v>
      </c>
      <c r="G521" s="2">
        <v>4</v>
      </c>
      <c r="H521" s="2">
        <v>3</v>
      </c>
      <c r="I521" s="2">
        <v>4</v>
      </c>
      <c r="J521" s="2">
        <v>1</v>
      </c>
      <c r="K521" s="2">
        <v>4</v>
      </c>
      <c r="L521" s="2" t="b">
        <f t="shared" si="36"/>
        <v>1</v>
      </c>
    </row>
    <row r="522" spans="2:12">
      <c r="B522" s="2">
        <v>10</v>
      </c>
      <c r="C522" s="2">
        <v>3</v>
      </c>
      <c r="D522" s="2">
        <v>6</v>
      </c>
      <c r="E522" s="2">
        <v>2</v>
      </c>
      <c r="F522" s="2">
        <v>3</v>
      </c>
      <c r="G522" s="2">
        <v>5</v>
      </c>
      <c r="H522" s="2">
        <v>4</v>
      </c>
      <c r="I522" s="2">
        <v>10</v>
      </c>
      <c r="J522" s="2">
        <v>2</v>
      </c>
      <c r="K522" s="2">
        <v>4</v>
      </c>
      <c r="L522" s="2" t="b">
        <f t="shared" si="36"/>
        <v>1</v>
      </c>
    </row>
    <row r="523" spans="2:12">
      <c r="B523" s="2">
        <v>5</v>
      </c>
      <c r="C523" s="2">
        <v>3</v>
      </c>
      <c r="D523" s="2">
        <v>5</v>
      </c>
      <c r="E523" s="2">
        <v>5</v>
      </c>
      <c r="F523" s="2">
        <v>3</v>
      </c>
      <c r="G523" s="2">
        <v>3</v>
      </c>
      <c r="H523" s="2">
        <v>4</v>
      </c>
      <c r="I523" s="2">
        <v>10</v>
      </c>
      <c r="J523" s="2">
        <v>1</v>
      </c>
      <c r="K523" s="2">
        <v>4</v>
      </c>
      <c r="L523" s="2" t="b">
        <f t="shared" si="36"/>
        <v>1</v>
      </c>
    </row>
    <row r="524" spans="2:12">
      <c r="B524" s="2">
        <v>6</v>
      </c>
      <c r="C524" s="2">
        <v>3</v>
      </c>
      <c r="D524" s="2">
        <v>4</v>
      </c>
      <c r="E524" s="2">
        <v>1</v>
      </c>
      <c r="F524" s="2">
        <v>5</v>
      </c>
      <c r="G524" s="2">
        <v>2</v>
      </c>
      <c r="H524" s="2">
        <v>3</v>
      </c>
      <c r="I524" s="2">
        <v>9</v>
      </c>
      <c r="J524" s="2">
        <v>1</v>
      </c>
      <c r="K524" s="2">
        <v>4</v>
      </c>
      <c r="L524" s="2" t="b">
        <f t="shared" si="36"/>
        <v>1</v>
      </c>
    </row>
    <row r="525" spans="2:12">
      <c r="B525" s="2">
        <v>5</v>
      </c>
      <c r="C525" s="2">
        <v>3</v>
      </c>
      <c r="D525" s="2">
        <v>4</v>
      </c>
      <c r="E525" s="2">
        <v>1</v>
      </c>
      <c r="F525" s="2">
        <v>8</v>
      </c>
      <c r="G525" s="2">
        <v>10</v>
      </c>
      <c r="H525" s="2">
        <v>4</v>
      </c>
      <c r="I525" s="2">
        <v>9</v>
      </c>
      <c r="J525" s="2">
        <v>1</v>
      </c>
      <c r="K525" s="2">
        <v>4</v>
      </c>
      <c r="L525" s="2" t="b">
        <f t="shared" si="36"/>
        <v>1</v>
      </c>
    </row>
    <row r="526" spans="2:12">
      <c r="B526" s="2">
        <v>8</v>
      </c>
      <c r="C526" s="2">
        <v>3</v>
      </c>
      <c r="D526" s="2">
        <v>8</v>
      </c>
      <c r="E526" s="2">
        <v>3</v>
      </c>
      <c r="F526" s="2">
        <v>4</v>
      </c>
      <c r="G526" s="2">
        <v>9</v>
      </c>
      <c r="H526" s="2">
        <v>8</v>
      </c>
      <c r="I526" s="2">
        <v>9</v>
      </c>
      <c r="J526" s="2">
        <v>8</v>
      </c>
      <c r="K526" s="2">
        <v>4</v>
      </c>
      <c r="L526" s="2" t="b">
        <f t="shared" si="36"/>
        <v>1</v>
      </c>
    </row>
    <row r="527" spans="2:12">
      <c r="B527" s="2">
        <v>1</v>
      </c>
      <c r="C527" s="2">
        <v>3</v>
      </c>
      <c r="D527" s="2">
        <v>3</v>
      </c>
      <c r="E527" s="2">
        <v>2</v>
      </c>
      <c r="F527" s="2">
        <v>2</v>
      </c>
      <c r="G527" s="2">
        <v>1</v>
      </c>
      <c r="H527" s="2">
        <v>7</v>
      </c>
      <c r="I527" s="2">
        <v>2</v>
      </c>
      <c r="J527" s="2">
        <v>1</v>
      </c>
      <c r="K527" s="2">
        <v>2</v>
      </c>
      <c r="L527" s="2" t="b">
        <f t="shared" si="36"/>
        <v>0</v>
      </c>
    </row>
    <row r="528" spans="2:12">
      <c r="B528" s="2">
        <v>5</v>
      </c>
      <c r="C528" s="2">
        <v>3</v>
      </c>
      <c r="D528" s="2">
        <v>1</v>
      </c>
      <c r="E528" s="2">
        <v>2</v>
      </c>
      <c r="F528" s="2">
        <v>2</v>
      </c>
      <c r="G528" s="2">
        <v>1</v>
      </c>
      <c r="H528" s="2">
        <v>2</v>
      </c>
      <c r="I528" s="2">
        <v>1</v>
      </c>
      <c r="J528" s="2">
        <v>1</v>
      </c>
      <c r="K528" s="2">
        <v>2</v>
      </c>
      <c r="L528" s="2" t="b">
        <f t="shared" si="36"/>
        <v>0</v>
      </c>
    </row>
    <row r="529" spans="2:12">
      <c r="B529" s="2">
        <v>3</v>
      </c>
      <c r="C529" s="2">
        <v>3</v>
      </c>
      <c r="D529" s="2">
        <v>6</v>
      </c>
      <c r="E529" s="2">
        <v>4</v>
      </c>
      <c r="F529" s="2">
        <v>5</v>
      </c>
      <c r="G529" s="2">
        <v>8</v>
      </c>
      <c r="H529" s="2">
        <v>4</v>
      </c>
      <c r="I529" s="2">
        <v>4</v>
      </c>
      <c r="J529" s="2">
        <v>1</v>
      </c>
      <c r="K529" s="2">
        <v>4</v>
      </c>
      <c r="L529" s="2" t="b">
        <f t="shared" si="36"/>
        <v>1</v>
      </c>
    </row>
    <row r="530" spans="2:12">
      <c r="B530" s="2">
        <v>10</v>
      </c>
      <c r="C530" s="2">
        <v>3</v>
      </c>
      <c r="D530" s="2">
        <v>5</v>
      </c>
      <c r="E530" s="2">
        <v>1</v>
      </c>
      <c r="F530" s="2">
        <v>10</v>
      </c>
      <c r="G530" s="2">
        <v>5</v>
      </c>
      <c r="H530" s="2">
        <v>3</v>
      </c>
      <c r="I530" s="2">
        <v>10</v>
      </c>
      <c r="J530" s="2">
        <v>2</v>
      </c>
      <c r="K530" s="2">
        <v>4</v>
      </c>
      <c r="L530" s="2" t="b">
        <f t="shared" si="36"/>
        <v>1</v>
      </c>
    </row>
    <row r="531" spans="2:12">
      <c r="B531" s="2">
        <v>2</v>
      </c>
      <c r="C531" s="2">
        <v>3</v>
      </c>
      <c r="D531" s="2">
        <v>4</v>
      </c>
      <c r="E531" s="2">
        <v>4</v>
      </c>
      <c r="F531" s="2">
        <v>2</v>
      </c>
      <c r="G531" s="2">
        <v>5</v>
      </c>
      <c r="H531" s="2">
        <v>2</v>
      </c>
      <c r="I531" s="2">
        <v>5</v>
      </c>
      <c r="J531" s="2">
        <v>1</v>
      </c>
      <c r="K531" s="2">
        <v>4</v>
      </c>
      <c r="L531" s="2" t="b">
        <f t="shared" si="36"/>
        <v>1</v>
      </c>
    </row>
    <row r="532" spans="2:12">
      <c r="B532" s="2">
        <v>7</v>
      </c>
      <c r="C532" s="2">
        <v>3</v>
      </c>
      <c r="D532" s="2">
        <v>4</v>
      </c>
      <c r="E532" s="2">
        <v>4</v>
      </c>
      <c r="F532" s="2">
        <v>3</v>
      </c>
      <c r="G532" s="2">
        <v>3</v>
      </c>
      <c r="H532" s="2">
        <v>3</v>
      </c>
      <c r="I532" s="2">
        <v>2</v>
      </c>
      <c r="J532" s="2">
        <v>7</v>
      </c>
      <c r="K532" s="2">
        <v>4</v>
      </c>
      <c r="L532" s="2" t="b">
        <f t="shared" si="36"/>
        <v>1</v>
      </c>
    </row>
    <row r="533" spans="2:12">
      <c r="B533" s="2">
        <v>1</v>
      </c>
      <c r="C533" s="2">
        <v>3</v>
      </c>
      <c r="D533" s="2">
        <v>1</v>
      </c>
      <c r="E533" s="2">
        <v>2</v>
      </c>
      <c r="F533" s="2">
        <v>2</v>
      </c>
      <c r="G533" s="2">
        <v>2</v>
      </c>
      <c r="H533" s="2">
        <v>5</v>
      </c>
      <c r="I533" s="2">
        <v>3</v>
      </c>
      <c r="J533" s="2">
        <v>2</v>
      </c>
      <c r="K533" s="2">
        <v>2</v>
      </c>
      <c r="L533" s="2" t="b">
        <f t="shared" si="36"/>
        <v>0</v>
      </c>
    </row>
    <row r="534" spans="2:12">
      <c r="B534" s="2">
        <v>10</v>
      </c>
      <c r="C534" s="2">
        <v>3</v>
      </c>
      <c r="D534" s="2">
        <v>3</v>
      </c>
      <c r="E534" s="2">
        <v>10</v>
      </c>
      <c r="F534" s="2">
        <v>2</v>
      </c>
      <c r="G534" s="2">
        <v>10</v>
      </c>
      <c r="H534" s="2">
        <v>7</v>
      </c>
      <c r="I534" s="2">
        <v>3</v>
      </c>
      <c r="J534" s="2">
        <v>3</v>
      </c>
      <c r="K534" s="2">
        <v>4</v>
      </c>
      <c r="L534" s="2" t="b">
        <f t="shared" si="36"/>
        <v>1</v>
      </c>
    </row>
    <row r="535" spans="2:12">
      <c r="B535" s="2">
        <v>3</v>
      </c>
      <c r="C535" s="2">
        <v>3</v>
      </c>
      <c r="D535" s="2">
        <v>2</v>
      </c>
      <c r="E535" s="2">
        <v>1</v>
      </c>
      <c r="F535" s="2">
        <v>2</v>
      </c>
      <c r="G535" s="2">
        <v>3</v>
      </c>
      <c r="H535" s="2">
        <v>3</v>
      </c>
      <c r="I535" s="2">
        <v>1</v>
      </c>
      <c r="J535" s="2">
        <v>1</v>
      </c>
      <c r="K535" s="2">
        <v>2</v>
      </c>
      <c r="L535" s="2" t="b">
        <f t="shared" si="36"/>
        <v>0</v>
      </c>
    </row>
    <row r="536" spans="2:12">
      <c r="B536" s="2">
        <v>8</v>
      </c>
      <c r="C536" s="2">
        <v>3</v>
      </c>
      <c r="D536" s="2">
        <v>3</v>
      </c>
      <c r="E536" s="2">
        <v>1</v>
      </c>
      <c r="F536" s="2">
        <v>2</v>
      </c>
      <c r="G536" s="2">
        <v>2</v>
      </c>
      <c r="H536" s="2">
        <v>3</v>
      </c>
      <c r="I536" s="2">
        <v>2</v>
      </c>
      <c r="J536" s="2">
        <v>1</v>
      </c>
      <c r="K536" s="2">
        <v>2</v>
      </c>
      <c r="L536" s="2" t="b">
        <f t="shared" si="36"/>
        <v>0</v>
      </c>
    </row>
    <row r="537" spans="2:12">
      <c r="B537" s="2">
        <v>5</v>
      </c>
      <c r="C537" s="2">
        <v>3</v>
      </c>
      <c r="D537" s="2">
        <v>5</v>
      </c>
      <c r="E537" s="2">
        <v>1</v>
      </c>
      <c r="F537" s="2">
        <v>8</v>
      </c>
      <c r="G537" s="2">
        <v>10</v>
      </c>
      <c r="H537" s="2">
        <v>5</v>
      </c>
      <c r="I537" s="2">
        <v>3</v>
      </c>
      <c r="J537" s="2">
        <v>1</v>
      </c>
      <c r="K537" s="2">
        <v>4</v>
      </c>
      <c r="L537" s="2" t="b">
        <f t="shared" si="36"/>
        <v>1</v>
      </c>
    </row>
    <row r="538" spans="2:12">
      <c r="B538" s="2">
        <v>8</v>
      </c>
      <c r="C538" s="2">
        <v>3</v>
      </c>
      <c r="D538" s="2">
        <v>5</v>
      </c>
      <c r="E538" s="2">
        <v>4</v>
      </c>
      <c r="F538" s="2">
        <v>5</v>
      </c>
      <c r="G538" s="2">
        <v>10</v>
      </c>
      <c r="H538" s="2">
        <v>1</v>
      </c>
      <c r="I538" s="2">
        <v>6</v>
      </c>
      <c r="J538" s="2">
        <v>2</v>
      </c>
      <c r="K538" s="2">
        <v>4</v>
      </c>
      <c r="L538" s="2" t="b">
        <f t="shared" ref="L538:L601" si="37">IF(K538=4, TRUE, FALSE)</f>
        <v>1</v>
      </c>
    </row>
    <row r="539" spans="2:12">
      <c r="B539" s="2">
        <v>5</v>
      </c>
      <c r="C539" s="2">
        <v>3</v>
      </c>
      <c r="D539" s="2">
        <v>3</v>
      </c>
      <c r="E539" s="2">
        <v>3</v>
      </c>
      <c r="F539" s="2">
        <v>6</v>
      </c>
      <c r="G539" s="2">
        <v>10</v>
      </c>
      <c r="H539" s="2">
        <v>3</v>
      </c>
      <c r="I539" s="2">
        <v>1</v>
      </c>
      <c r="J539" s="2">
        <v>1</v>
      </c>
      <c r="K539" s="2">
        <v>4</v>
      </c>
      <c r="L539" s="2" t="b">
        <f t="shared" si="37"/>
        <v>1</v>
      </c>
    </row>
    <row r="540" spans="2:12">
      <c r="B540" s="2">
        <v>3</v>
      </c>
      <c r="C540" s="2">
        <v>3</v>
      </c>
      <c r="D540" s="2">
        <v>2</v>
      </c>
      <c r="E540" s="2">
        <v>1</v>
      </c>
      <c r="F540" s="2">
        <v>3</v>
      </c>
      <c r="G540" s="2">
        <v>1</v>
      </c>
      <c r="H540" s="2">
        <v>3</v>
      </c>
      <c r="I540" s="2">
        <v>6</v>
      </c>
      <c r="J540" s="2">
        <v>1</v>
      </c>
      <c r="K540" s="2">
        <v>2</v>
      </c>
      <c r="L540" s="2" t="b">
        <f t="shared" si="37"/>
        <v>0</v>
      </c>
    </row>
    <row r="541" spans="2:12">
      <c r="B541" s="2">
        <v>6</v>
      </c>
      <c r="C541" s="2">
        <v>3</v>
      </c>
      <c r="D541" s="2">
        <v>3</v>
      </c>
      <c r="E541" s="2">
        <v>5</v>
      </c>
      <c r="F541" s="2">
        <v>3</v>
      </c>
      <c r="G541" s="2">
        <v>10</v>
      </c>
      <c r="H541" s="2">
        <v>3</v>
      </c>
      <c r="I541" s="2">
        <v>5</v>
      </c>
      <c r="J541" s="2">
        <v>3</v>
      </c>
      <c r="K541" s="2">
        <v>2</v>
      </c>
      <c r="L541" s="2" t="b">
        <f t="shared" si="37"/>
        <v>0</v>
      </c>
    </row>
    <row r="542" spans="2:12">
      <c r="B542" s="2">
        <v>3</v>
      </c>
      <c r="C542" s="2">
        <v>3</v>
      </c>
      <c r="D542" s="2">
        <v>5</v>
      </c>
      <c r="E542" s="2">
        <v>2</v>
      </c>
      <c r="F542" s="2">
        <v>3</v>
      </c>
      <c r="G542" s="2">
        <v>10</v>
      </c>
      <c r="H542" s="2">
        <v>7</v>
      </c>
      <c r="I542" s="2">
        <v>1</v>
      </c>
      <c r="J542" s="2">
        <v>1</v>
      </c>
      <c r="K542" s="2">
        <v>4</v>
      </c>
      <c r="L542" s="2" t="b">
        <f t="shared" si="37"/>
        <v>1</v>
      </c>
    </row>
    <row r="543" spans="2:12">
      <c r="B543" s="2">
        <v>3</v>
      </c>
      <c r="C543" s="2">
        <v>3</v>
      </c>
      <c r="D543" s="2">
        <v>5</v>
      </c>
      <c r="E543" s="2">
        <v>2</v>
      </c>
      <c r="F543" s="2">
        <v>3</v>
      </c>
      <c r="G543" s="2">
        <v>10</v>
      </c>
      <c r="H543" s="2">
        <v>7</v>
      </c>
      <c r="I543" s="2">
        <v>1</v>
      </c>
      <c r="J543" s="2">
        <v>1</v>
      </c>
      <c r="K543" s="2">
        <v>4</v>
      </c>
      <c r="L543" s="2" t="b">
        <f t="shared" si="37"/>
        <v>1</v>
      </c>
    </row>
    <row r="544" spans="2:12">
      <c r="B544" s="2">
        <v>5</v>
      </c>
      <c r="C544" s="2">
        <v>3</v>
      </c>
      <c r="D544" s="2">
        <v>4</v>
      </c>
      <c r="E544" s="2">
        <v>3</v>
      </c>
      <c r="F544" s="2">
        <v>4</v>
      </c>
      <c r="G544" s="2">
        <v>5</v>
      </c>
      <c r="H544" s="2">
        <v>4</v>
      </c>
      <c r="I544" s="2">
        <v>7</v>
      </c>
      <c r="J544" s="2">
        <v>1</v>
      </c>
      <c r="K544" s="2">
        <v>2</v>
      </c>
      <c r="L544" s="2" t="b">
        <f t="shared" si="37"/>
        <v>0</v>
      </c>
    </row>
    <row r="545" spans="2:12">
      <c r="B545" s="2">
        <v>8</v>
      </c>
      <c r="C545" s="2">
        <v>3</v>
      </c>
      <c r="D545" s="2">
        <v>4</v>
      </c>
      <c r="E545" s="2">
        <v>9</v>
      </c>
      <c r="F545" s="2">
        <v>3</v>
      </c>
      <c r="G545" s="2">
        <v>10</v>
      </c>
      <c r="H545" s="2">
        <v>3</v>
      </c>
      <c r="I545" s="2">
        <v>3</v>
      </c>
      <c r="J545" s="2">
        <v>1</v>
      </c>
      <c r="K545" s="2">
        <v>4</v>
      </c>
      <c r="L545" s="2" t="b">
        <f t="shared" si="37"/>
        <v>1</v>
      </c>
    </row>
    <row r="546" spans="2:12">
      <c r="B546" s="2">
        <v>10</v>
      </c>
      <c r="C546" s="2">
        <v>3</v>
      </c>
      <c r="D546" s="2">
        <v>3</v>
      </c>
      <c r="E546" s="2">
        <v>1</v>
      </c>
      <c r="F546" s="2">
        <v>2</v>
      </c>
      <c r="G546" s="2">
        <v>10</v>
      </c>
      <c r="H546" s="2">
        <v>7</v>
      </c>
      <c r="I546" s="2">
        <v>6</v>
      </c>
      <c r="J546" s="2">
        <v>1</v>
      </c>
      <c r="K546" s="2">
        <v>4</v>
      </c>
      <c r="L546" s="2" t="b">
        <f t="shared" si="37"/>
        <v>1</v>
      </c>
    </row>
    <row r="547" spans="2:12">
      <c r="B547" s="2">
        <v>5</v>
      </c>
      <c r="C547" s="2">
        <v>3</v>
      </c>
      <c r="D547" s="2">
        <v>3</v>
      </c>
      <c r="E547" s="2">
        <v>1</v>
      </c>
      <c r="F547" s="2">
        <v>3</v>
      </c>
      <c r="G547" s="2">
        <v>3</v>
      </c>
      <c r="H547" s="2">
        <v>3</v>
      </c>
      <c r="I547" s="2">
        <v>3</v>
      </c>
      <c r="J547" s="2">
        <v>3</v>
      </c>
      <c r="K547" s="2">
        <v>4</v>
      </c>
      <c r="L547" s="2" t="b">
        <f t="shared" si="37"/>
        <v>1</v>
      </c>
    </row>
    <row r="548" spans="2:12">
      <c r="B548" s="2">
        <v>10</v>
      </c>
      <c r="C548" s="2">
        <v>3</v>
      </c>
      <c r="D548" s="2">
        <v>5</v>
      </c>
      <c r="E548" s="2">
        <v>4</v>
      </c>
      <c r="F548" s="2">
        <v>3</v>
      </c>
      <c r="G548" s="2">
        <v>7</v>
      </c>
      <c r="H548" s="2">
        <v>3</v>
      </c>
      <c r="I548" s="2">
        <v>5</v>
      </c>
      <c r="J548" s="2">
        <v>3</v>
      </c>
      <c r="K548" s="2">
        <v>4</v>
      </c>
      <c r="L548" s="2" t="b">
        <f t="shared" si="37"/>
        <v>1</v>
      </c>
    </row>
    <row r="549" spans="2:12">
      <c r="B549" s="2">
        <v>4</v>
      </c>
      <c r="C549" s="2">
        <v>3</v>
      </c>
      <c r="D549" s="2">
        <v>2</v>
      </c>
      <c r="E549" s="2">
        <v>1</v>
      </c>
      <c r="F549" s="2">
        <v>3</v>
      </c>
      <c r="G549" s="2">
        <v>1</v>
      </c>
      <c r="H549" s="2">
        <v>2</v>
      </c>
      <c r="I549" s="2">
        <v>1</v>
      </c>
      <c r="J549" s="2">
        <v>1</v>
      </c>
      <c r="K549" s="2">
        <v>2</v>
      </c>
      <c r="L549" s="2" t="b">
        <f t="shared" si="37"/>
        <v>0</v>
      </c>
    </row>
    <row r="550" spans="2:12">
      <c r="B550" s="2">
        <v>5</v>
      </c>
      <c r="C550" s="2">
        <v>3</v>
      </c>
      <c r="D550" s="2">
        <v>4</v>
      </c>
      <c r="E550" s="2">
        <v>1</v>
      </c>
      <c r="F550" s="2">
        <v>4</v>
      </c>
      <c r="G550" s="2">
        <v>1</v>
      </c>
      <c r="H550" s="2">
        <v>3</v>
      </c>
      <c r="I550" s="2">
        <v>1</v>
      </c>
      <c r="J550" s="2">
        <v>1</v>
      </c>
      <c r="K550" s="2">
        <v>2</v>
      </c>
      <c r="L550" s="2" t="b">
        <f t="shared" si="37"/>
        <v>0</v>
      </c>
    </row>
    <row r="551" spans="2:12">
      <c r="B551" s="2">
        <v>3</v>
      </c>
      <c r="C551" s="2">
        <v>3</v>
      </c>
      <c r="D551" s="2">
        <v>2</v>
      </c>
      <c r="E551" s="2">
        <v>2</v>
      </c>
      <c r="F551" s="2">
        <v>3</v>
      </c>
      <c r="G551" s="2">
        <v>1</v>
      </c>
      <c r="H551" s="2">
        <v>1</v>
      </c>
      <c r="I551" s="2">
        <v>2</v>
      </c>
      <c r="J551" s="2">
        <v>3</v>
      </c>
      <c r="K551" s="2">
        <v>2</v>
      </c>
      <c r="L551" s="2" t="b">
        <f t="shared" si="37"/>
        <v>0</v>
      </c>
    </row>
    <row r="552" spans="2:12">
      <c r="B552" s="2">
        <v>5</v>
      </c>
      <c r="C552" s="2">
        <v>3</v>
      </c>
      <c r="D552" s="2">
        <v>3</v>
      </c>
      <c r="E552" s="2">
        <v>2</v>
      </c>
      <c r="F552" s="2">
        <v>3</v>
      </c>
      <c r="G552" s="2">
        <v>1</v>
      </c>
      <c r="H552" s="2">
        <v>3</v>
      </c>
      <c r="I552" s="2">
        <v>1</v>
      </c>
      <c r="J552" s="2">
        <v>1</v>
      </c>
      <c r="K552" s="2">
        <v>2</v>
      </c>
      <c r="L552" s="2" t="b">
        <f t="shared" si="37"/>
        <v>0</v>
      </c>
    </row>
    <row r="553" spans="2:12">
      <c r="B553" s="2">
        <v>5</v>
      </c>
      <c r="C553" s="2">
        <v>3</v>
      </c>
      <c r="D553" s="2">
        <v>3</v>
      </c>
      <c r="E553" s="2">
        <v>1</v>
      </c>
      <c r="F553" s="2">
        <v>2</v>
      </c>
      <c r="G553" s="2">
        <v>1</v>
      </c>
      <c r="H553" s="2">
        <v>2</v>
      </c>
      <c r="I553" s="2">
        <v>1</v>
      </c>
      <c r="J553" s="2">
        <v>1</v>
      </c>
      <c r="K553" s="2">
        <v>2</v>
      </c>
      <c r="L553" s="2" t="b">
        <f t="shared" si="37"/>
        <v>0</v>
      </c>
    </row>
    <row r="554" spans="2:12">
      <c r="B554" s="2">
        <v>2</v>
      </c>
      <c r="C554" s="2">
        <v>3</v>
      </c>
      <c r="D554" s="2">
        <v>2</v>
      </c>
      <c r="E554" s="2">
        <v>2</v>
      </c>
      <c r="F554" s="2">
        <v>2</v>
      </c>
      <c r="G554" s="2">
        <v>2</v>
      </c>
      <c r="H554" s="2">
        <v>3</v>
      </c>
      <c r="I554" s="2">
        <v>1</v>
      </c>
      <c r="J554" s="2">
        <v>1</v>
      </c>
      <c r="K554" s="2">
        <v>2</v>
      </c>
      <c r="L554" s="2" t="b">
        <f t="shared" si="37"/>
        <v>0</v>
      </c>
    </row>
    <row r="555" spans="2:12">
      <c r="B555" s="2">
        <v>3</v>
      </c>
      <c r="C555" s="2">
        <v>3</v>
      </c>
      <c r="D555" s="2">
        <v>2</v>
      </c>
      <c r="E555" s="2">
        <v>6</v>
      </c>
      <c r="F555" s="2">
        <v>3</v>
      </c>
      <c r="G555" s="2">
        <v>3</v>
      </c>
      <c r="H555" s="2">
        <v>3</v>
      </c>
      <c r="I555" s="2">
        <v>5</v>
      </c>
      <c r="J555" s="2">
        <v>1</v>
      </c>
      <c r="K555" s="2">
        <v>2</v>
      </c>
      <c r="L555" s="2" t="b">
        <f t="shared" si="37"/>
        <v>0</v>
      </c>
    </row>
    <row r="556" spans="2:12">
      <c r="B556" s="2">
        <v>2</v>
      </c>
      <c r="C556" s="2">
        <v>3</v>
      </c>
      <c r="D556" s="2">
        <v>1</v>
      </c>
      <c r="E556" s="2">
        <v>1</v>
      </c>
      <c r="F556" s="2">
        <v>5</v>
      </c>
      <c r="G556" s="2">
        <v>1</v>
      </c>
      <c r="H556" s="2">
        <v>1</v>
      </c>
      <c r="I556" s="2">
        <v>1</v>
      </c>
      <c r="J556" s="2">
        <v>1</v>
      </c>
      <c r="K556" s="2">
        <v>2</v>
      </c>
      <c r="L556" s="2" t="b">
        <f t="shared" si="37"/>
        <v>0</v>
      </c>
    </row>
    <row r="557" spans="2:12">
      <c r="B557" s="2">
        <v>4</v>
      </c>
      <c r="C557" s="2">
        <v>3</v>
      </c>
      <c r="D557" s="2">
        <v>3</v>
      </c>
      <c r="E557" s="2">
        <v>1</v>
      </c>
      <c r="F557" s="2">
        <v>2</v>
      </c>
      <c r="G557" s="2">
        <v>1</v>
      </c>
      <c r="H557" s="2">
        <v>3</v>
      </c>
      <c r="I557" s="2">
        <v>3</v>
      </c>
      <c r="J557" s="2">
        <v>1</v>
      </c>
      <c r="K557" s="2">
        <v>2</v>
      </c>
      <c r="L557" s="2" t="b">
        <f t="shared" si="37"/>
        <v>0</v>
      </c>
    </row>
    <row r="558" spans="2:12">
      <c r="B558" s="2">
        <v>5</v>
      </c>
      <c r="C558" s="2">
        <v>3</v>
      </c>
      <c r="D558" s="2">
        <v>6</v>
      </c>
      <c r="E558" s="2">
        <v>1</v>
      </c>
      <c r="F558" s="2">
        <v>2</v>
      </c>
      <c r="G558" s="2">
        <v>1</v>
      </c>
      <c r="H558" s="2">
        <v>1</v>
      </c>
      <c r="I558" s="2">
        <v>1</v>
      </c>
      <c r="J558" s="2">
        <v>1</v>
      </c>
      <c r="K558" s="2">
        <v>2</v>
      </c>
      <c r="L558" s="2" t="b">
        <f t="shared" si="37"/>
        <v>0</v>
      </c>
    </row>
    <row r="559" spans="2:12">
      <c r="B559" s="2">
        <v>1</v>
      </c>
      <c r="C559" s="2">
        <v>3</v>
      </c>
      <c r="D559" s="2">
        <v>1</v>
      </c>
      <c r="E559" s="2">
        <v>1</v>
      </c>
      <c r="F559" s="2">
        <v>2</v>
      </c>
      <c r="G559" s="2">
        <v>1</v>
      </c>
      <c r="H559" s="2">
        <v>2</v>
      </c>
      <c r="I559" s="2">
        <v>2</v>
      </c>
      <c r="J559" s="2">
        <v>1</v>
      </c>
      <c r="K559" s="2">
        <v>2</v>
      </c>
      <c r="L559" s="2" t="b">
        <f t="shared" si="37"/>
        <v>0</v>
      </c>
    </row>
    <row r="560" spans="2:12">
      <c r="B560" s="2">
        <v>2</v>
      </c>
      <c r="C560" s="2">
        <v>3</v>
      </c>
      <c r="D560" s="2">
        <v>1</v>
      </c>
      <c r="E560" s="2">
        <v>1</v>
      </c>
      <c r="F560" s="2">
        <v>3</v>
      </c>
      <c r="G560" s="2">
        <v>1</v>
      </c>
      <c r="H560" s="2">
        <v>1</v>
      </c>
      <c r="I560" s="2">
        <v>1</v>
      </c>
      <c r="J560" s="2">
        <v>1</v>
      </c>
      <c r="K560" s="2">
        <v>2</v>
      </c>
      <c r="L560" s="2" t="b">
        <f t="shared" si="37"/>
        <v>0</v>
      </c>
    </row>
    <row r="561" spans="2:12">
      <c r="B561" s="2">
        <v>5</v>
      </c>
      <c r="C561" s="2">
        <v>3</v>
      </c>
      <c r="D561" s="2">
        <v>2</v>
      </c>
      <c r="E561" s="2">
        <v>4</v>
      </c>
      <c r="F561" s="2">
        <v>2</v>
      </c>
      <c r="G561" s="2">
        <v>1</v>
      </c>
      <c r="H561" s="2">
        <v>1</v>
      </c>
      <c r="I561" s="2">
        <v>1</v>
      </c>
      <c r="J561" s="2">
        <v>1</v>
      </c>
      <c r="K561" s="2">
        <v>2</v>
      </c>
      <c r="L561" s="2" t="b">
        <f t="shared" si="37"/>
        <v>0</v>
      </c>
    </row>
    <row r="562" spans="2:12">
      <c r="B562" s="2">
        <v>6</v>
      </c>
      <c r="C562" s="2">
        <v>3</v>
      </c>
      <c r="D562" s="2">
        <v>2</v>
      </c>
      <c r="E562" s="2">
        <v>1</v>
      </c>
      <c r="F562" s="2">
        <v>3</v>
      </c>
      <c r="G562" s="2">
        <v>4</v>
      </c>
      <c r="H562" s="2">
        <v>4</v>
      </c>
      <c r="I562" s="2">
        <v>1</v>
      </c>
      <c r="J562" s="2">
        <v>1</v>
      </c>
      <c r="K562" s="2">
        <v>4</v>
      </c>
      <c r="L562" s="2" t="b">
        <f t="shared" si="37"/>
        <v>1</v>
      </c>
    </row>
    <row r="563" spans="2:12">
      <c r="B563" s="2">
        <v>3</v>
      </c>
      <c r="C563" s="2">
        <v>3</v>
      </c>
      <c r="D563" s="2">
        <v>1</v>
      </c>
      <c r="E563" s="2">
        <v>1</v>
      </c>
      <c r="F563" s="2">
        <v>2</v>
      </c>
      <c r="G563" s="2">
        <v>1</v>
      </c>
      <c r="H563" s="2">
        <v>1</v>
      </c>
      <c r="I563" s="2">
        <v>1</v>
      </c>
      <c r="J563" s="2">
        <v>1</v>
      </c>
      <c r="K563" s="2">
        <v>2</v>
      </c>
      <c r="L563" s="2" t="b">
        <f t="shared" si="37"/>
        <v>0</v>
      </c>
    </row>
    <row r="564" spans="2:12">
      <c r="B564" s="2">
        <v>5</v>
      </c>
      <c r="C564" s="2">
        <v>3</v>
      </c>
      <c r="D564" s="2">
        <v>1</v>
      </c>
      <c r="E564" s="2">
        <v>1</v>
      </c>
      <c r="F564" s="2">
        <v>2</v>
      </c>
      <c r="G564" s="2">
        <v>1</v>
      </c>
      <c r="H564" s="2">
        <v>1</v>
      </c>
      <c r="I564" s="2">
        <v>1</v>
      </c>
      <c r="J564" s="2">
        <v>1</v>
      </c>
      <c r="K564" s="2">
        <v>2</v>
      </c>
      <c r="L564" s="2" t="b">
        <f t="shared" si="37"/>
        <v>0</v>
      </c>
    </row>
    <row r="565" spans="2:12">
      <c r="B565" s="2">
        <v>4</v>
      </c>
      <c r="C565" s="2">
        <v>3</v>
      </c>
      <c r="D565" s="2">
        <v>1</v>
      </c>
      <c r="E565" s="2">
        <v>1</v>
      </c>
      <c r="F565" s="2">
        <v>2</v>
      </c>
      <c r="G565" s="2">
        <v>1</v>
      </c>
      <c r="H565" s="2">
        <v>4</v>
      </c>
      <c r="I565" s="2">
        <v>8</v>
      </c>
      <c r="J565" s="2">
        <v>1</v>
      </c>
      <c r="K565" s="2">
        <v>2</v>
      </c>
      <c r="L565" s="2" t="b">
        <f t="shared" si="37"/>
        <v>0</v>
      </c>
    </row>
    <row r="566" spans="2:12">
      <c r="B566" s="2">
        <v>10</v>
      </c>
      <c r="C566" s="2">
        <v>3</v>
      </c>
      <c r="D566" s="2">
        <v>4</v>
      </c>
      <c r="E566" s="2">
        <v>5</v>
      </c>
      <c r="F566" s="2">
        <v>3</v>
      </c>
      <c r="G566" s="2">
        <v>10</v>
      </c>
      <c r="H566" s="2">
        <v>4</v>
      </c>
      <c r="I566" s="2">
        <v>1</v>
      </c>
      <c r="J566" s="2">
        <v>1</v>
      </c>
      <c r="K566" s="2">
        <v>4</v>
      </c>
      <c r="L566" s="2" t="b">
        <f t="shared" si="37"/>
        <v>1</v>
      </c>
    </row>
    <row r="567" spans="2:12">
      <c r="B567" s="2">
        <v>5</v>
      </c>
      <c r="C567" s="2">
        <v>3</v>
      </c>
      <c r="D567" s="2">
        <v>2</v>
      </c>
      <c r="E567" s="2">
        <v>8</v>
      </c>
      <c r="F567" s="2">
        <v>5</v>
      </c>
      <c r="G567" s="2">
        <v>10</v>
      </c>
      <c r="H567" s="2">
        <v>8</v>
      </c>
      <c r="I567" s="2">
        <v>1</v>
      </c>
      <c r="J567" s="2">
        <v>2</v>
      </c>
      <c r="K567" s="2">
        <v>4</v>
      </c>
      <c r="L567" s="2" t="b">
        <f t="shared" si="37"/>
        <v>1</v>
      </c>
    </row>
    <row r="568" spans="2:12">
      <c r="B568" s="2">
        <v>2</v>
      </c>
      <c r="C568" s="2">
        <v>3</v>
      </c>
      <c r="D568" s="2">
        <v>1</v>
      </c>
      <c r="E568" s="2">
        <v>1</v>
      </c>
      <c r="F568" s="2">
        <v>2</v>
      </c>
      <c r="G568" s="2">
        <v>1</v>
      </c>
      <c r="H568" s="2">
        <v>2</v>
      </c>
      <c r="I568" s="2">
        <v>1</v>
      </c>
      <c r="J568" s="2">
        <v>1</v>
      </c>
      <c r="K568" s="2">
        <v>2</v>
      </c>
      <c r="L568" s="2" t="b">
        <f t="shared" si="37"/>
        <v>0</v>
      </c>
    </row>
    <row r="569" spans="2:12">
      <c r="B569" s="2">
        <v>6</v>
      </c>
      <c r="C569" s="2">
        <v>3</v>
      </c>
      <c r="D569" s="2">
        <v>3</v>
      </c>
      <c r="E569" s="2">
        <v>3</v>
      </c>
      <c r="F569" s="2">
        <v>3</v>
      </c>
      <c r="G569" s="2">
        <v>2</v>
      </c>
      <c r="H569" s="2">
        <v>6</v>
      </c>
      <c r="I569" s="2">
        <v>1</v>
      </c>
      <c r="J569" s="2">
        <v>1</v>
      </c>
      <c r="K569" s="2">
        <v>2</v>
      </c>
      <c r="L569" s="2" t="b">
        <f t="shared" si="37"/>
        <v>0</v>
      </c>
    </row>
    <row r="570" spans="2:12">
      <c r="B570" s="2">
        <v>5</v>
      </c>
      <c r="C570" s="2">
        <v>3</v>
      </c>
      <c r="D570" s="2">
        <v>2</v>
      </c>
      <c r="E570" s="2">
        <v>1</v>
      </c>
      <c r="F570" s="2">
        <v>3</v>
      </c>
      <c r="G570" s="2">
        <v>1</v>
      </c>
      <c r="H570" s="2">
        <v>1</v>
      </c>
      <c r="I570" s="2">
        <v>1</v>
      </c>
      <c r="J570" s="2">
        <v>1</v>
      </c>
      <c r="K570" s="2">
        <v>2</v>
      </c>
      <c r="L570" s="2" t="b">
        <f t="shared" si="37"/>
        <v>0</v>
      </c>
    </row>
    <row r="571" spans="2:12">
      <c r="B571" s="2">
        <v>5</v>
      </c>
      <c r="C571" s="2">
        <v>4</v>
      </c>
      <c r="D571" s="2">
        <v>4</v>
      </c>
      <c r="E571" s="2">
        <v>5</v>
      </c>
      <c r="F571" s="2">
        <v>7</v>
      </c>
      <c r="G571" s="2">
        <v>10</v>
      </c>
      <c r="H571" s="2">
        <v>3</v>
      </c>
      <c r="I571" s="2">
        <v>2</v>
      </c>
      <c r="J571" s="2">
        <v>1</v>
      </c>
      <c r="K571" s="2">
        <v>2</v>
      </c>
      <c r="L571" s="2" t="b">
        <f t="shared" si="37"/>
        <v>0</v>
      </c>
    </row>
    <row r="572" spans="2:12">
      <c r="B572" s="2">
        <v>7</v>
      </c>
      <c r="C572" s="2">
        <v>4</v>
      </c>
      <c r="D572" s="2">
        <v>6</v>
      </c>
      <c r="E572" s="2">
        <v>4</v>
      </c>
      <c r="F572" s="2">
        <v>6</v>
      </c>
      <c r="G572" s="2">
        <v>1</v>
      </c>
      <c r="H572" s="2">
        <v>4</v>
      </c>
      <c r="I572" s="2">
        <v>3</v>
      </c>
      <c r="J572" s="2">
        <v>1</v>
      </c>
      <c r="K572" s="2">
        <v>4</v>
      </c>
      <c r="L572" s="2" t="b">
        <f t="shared" si="37"/>
        <v>1</v>
      </c>
    </row>
    <row r="573" spans="2:12">
      <c r="B573" s="2">
        <v>8</v>
      </c>
      <c r="C573" s="2">
        <v>4</v>
      </c>
      <c r="D573" s="2">
        <v>5</v>
      </c>
      <c r="E573" s="2">
        <v>1</v>
      </c>
      <c r="F573" s="2">
        <v>2</v>
      </c>
      <c r="G573" s="2" t="s">
        <v>8</v>
      </c>
      <c r="H573" s="2">
        <v>7</v>
      </c>
      <c r="I573" s="2">
        <v>3</v>
      </c>
      <c r="J573" s="2">
        <v>1</v>
      </c>
      <c r="K573" s="2">
        <v>4</v>
      </c>
      <c r="L573" s="2" t="b">
        <f t="shared" si="37"/>
        <v>1</v>
      </c>
    </row>
    <row r="574" spans="2:12">
      <c r="B574" s="2">
        <v>5</v>
      </c>
      <c r="C574" s="2">
        <v>4</v>
      </c>
      <c r="D574" s="2">
        <v>4</v>
      </c>
      <c r="E574" s="2">
        <v>9</v>
      </c>
      <c r="F574" s="2">
        <v>2</v>
      </c>
      <c r="G574" s="2">
        <v>10</v>
      </c>
      <c r="H574" s="2">
        <v>5</v>
      </c>
      <c r="I574" s="2">
        <v>6</v>
      </c>
      <c r="J574" s="2">
        <v>1</v>
      </c>
      <c r="K574" s="2">
        <v>4</v>
      </c>
      <c r="L574" s="2" t="b">
        <f t="shared" si="37"/>
        <v>1</v>
      </c>
    </row>
    <row r="575" spans="2:12">
      <c r="B575" s="2">
        <v>10</v>
      </c>
      <c r="C575" s="2">
        <v>4</v>
      </c>
      <c r="D575" s="2">
        <v>3</v>
      </c>
      <c r="E575" s="2">
        <v>1</v>
      </c>
      <c r="F575" s="2">
        <v>3</v>
      </c>
      <c r="G575" s="2">
        <v>3</v>
      </c>
      <c r="H575" s="2">
        <v>6</v>
      </c>
      <c r="I575" s="2">
        <v>5</v>
      </c>
      <c r="J575" s="2">
        <v>2</v>
      </c>
      <c r="K575" s="2">
        <v>4</v>
      </c>
      <c r="L575" s="2" t="b">
        <f t="shared" si="37"/>
        <v>1</v>
      </c>
    </row>
    <row r="576" spans="2:12">
      <c r="B576" s="2">
        <v>10</v>
      </c>
      <c r="C576" s="2">
        <v>4</v>
      </c>
      <c r="D576" s="2">
        <v>2</v>
      </c>
      <c r="E576" s="2">
        <v>1</v>
      </c>
      <c r="F576" s="2">
        <v>3</v>
      </c>
      <c r="G576" s="2">
        <v>2</v>
      </c>
      <c r="H576" s="2">
        <v>4</v>
      </c>
      <c r="I576" s="2">
        <v>3</v>
      </c>
      <c r="J576" s="2">
        <v>10</v>
      </c>
      <c r="K576" s="2">
        <v>4</v>
      </c>
      <c r="L576" s="2" t="b">
        <f t="shared" si="37"/>
        <v>1</v>
      </c>
    </row>
    <row r="577" spans="2:12">
      <c r="B577" s="2">
        <v>9</v>
      </c>
      <c r="C577" s="2">
        <v>4</v>
      </c>
      <c r="D577" s="2">
        <v>5</v>
      </c>
      <c r="E577" s="2">
        <v>10</v>
      </c>
      <c r="F577" s="2">
        <v>6</v>
      </c>
      <c r="G577" s="2">
        <v>10</v>
      </c>
      <c r="H577" s="2">
        <v>4</v>
      </c>
      <c r="I577" s="2">
        <v>8</v>
      </c>
      <c r="J577" s="2">
        <v>1</v>
      </c>
      <c r="K577" s="2">
        <v>4</v>
      </c>
      <c r="L577" s="2" t="b">
        <f t="shared" si="37"/>
        <v>1</v>
      </c>
    </row>
    <row r="578" spans="2:12">
      <c r="B578" s="2">
        <v>5</v>
      </c>
      <c r="C578" s="2">
        <v>4</v>
      </c>
      <c r="D578" s="2">
        <v>6</v>
      </c>
      <c r="E578" s="2">
        <v>7</v>
      </c>
      <c r="F578" s="2">
        <v>9</v>
      </c>
      <c r="G578" s="2">
        <v>7</v>
      </c>
      <c r="H578" s="2">
        <v>8</v>
      </c>
      <c r="I578" s="2">
        <v>10</v>
      </c>
      <c r="J578" s="2">
        <v>1</v>
      </c>
      <c r="K578" s="2">
        <v>4</v>
      </c>
      <c r="L578" s="2" t="b">
        <f t="shared" si="37"/>
        <v>1</v>
      </c>
    </row>
    <row r="579" spans="2:12">
      <c r="B579" s="2">
        <v>3</v>
      </c>
      <c r="C579" s="2">
        <v>4</v>
      </c>
      <c r="D579" s="2">
        <v>5</v>
      </c>
      <c r="E579" s="2">
        <v>2</v>
      </c>
      <c r="F579" s="2">
        <v>6</v>
      </c>
      <c r="G579" s="2">
        <v>8</v>
      </c>
      <c r="H579" s="2">
        <v>4</v>
      </c>
      <c r="I579" s="2">
        <v>1</v>
      </c>
      <c r="J579" s="2">
        <v>1</v>
      </c>
      <c r="K579" s="2">
        <v>4</v>
      </c>
      <c r="L579" s="2" t="b">
        <f t="shared" si="37"/>
        <v>1</v>
      </c>
    </row>
    <row r="580" spans="2:12">
      <c r="B580" s="2">
        <v>8</v>
      </c>
      <c r="C580" s="2">
        <v>4</v>
      </c>
      <c r="D580" s="2">
        <v>4</v>
      </c>
      <c r="E580" s="2">
        <v>5</v>
      </c>
      <c r="F580" s="2">
        <v>4</v>
      </c>
      <c r="G580" s="2">
        <v>7</v>
      </c>
      <c r="H580" s="2">
        <v>7</v>
      </c>
      <c r="I580" s="2">
        <v>8</v>
      </c>
      <c r="J580" s="2">
        <v>2</v>
      </c>
      <c r="K580" s="2">
        <v>2</v>
      </c>
      <c r="L580" s="2" t="b">
        <f t="shared" si="37"/>
        <v>0</v>
      </c>
    </row>
    <row r="581" spans="2:12">
      <c r="B581" s="2">
        <v>7</v>
      </c>
      <c r="C581" s="2">
        <v>4</v>
      </c>
      <c r="D581" s="2">
        <v>7</v>
      </c>
      <c r="E581" s="2">
        <v>4</v>
      </c>
      <c r="F581" s="2">
        <v>3</v>
      </c>
      <c r="G581" s="2">
        <v>7</v>
      </c>
      <c r="H581" s="2">
        <v>7</v>
      </c>
      <c r="I581" s="2">
        <v>6</v>
      </c>
      <c r="J581" s="2">
        <v>1</v>
      </c>
      <c r="K581" s="2">
        <v>4</v>
      </c>
      <c r="L581" s="2" t="b">
        <f t="shared" si="37"/>
        <v>1</v>
      </c>
    </row>
    <row r="582" spans="2:12">
      <c r="B582" s="2">
        <v>8</v>
      </c>
      <c r="C582" s="2">
        <v>4</v>
      </c>
      <c r="D582" s="2">
        <v>6</v>
      </c>
      <c r="E582" s="2">
        <v>3</v>
      </c>
      <c r="F582" s="2">
        <v>3</v>
      </c>
      <c r="G582" s="2">
        <v>1</v>
      </c>
      <c r="H582" s="2">
        <v>4</v>
      </c>
      <c r="I582" s="2">
        <v>3</v>
      </c>
      <c r="J582" s="2">
        <v>1</v>
      </c>
      <c r="K582" s="2">
        <v>2</v>
      </c>
      <c r="L582" s="2" t="b">
        <f t="shared" si="37"/>
        <v>0</v>
      </c>
    </row>
    <row r="583" spans="2:12">
      <c r="B583" s="2">
        <v>10</v>
      </c>
      <c r="C583" s="2">
        <v>4</v>
      </c>
      <c r="D583" s="2">
        <v>5</v>
      </c>
      <c r="E583" s="2">
        <v>5</v>
      </c>
      <c r="F583" s="2">
        <v>5</v>
      </c>
      <c r="G583" s="2">
        <v>10</v>
      </c>
      <c r="H583" s="2">
        <v>4</v>
      </c>
      <c r="I583" s="2">
        <v>1</v>
      </c>
      <c r="J583" s="2">
        <v>1</v>
      </c>
      <c r="K583" s="2">
        <v>4</v>
      </c>
      <c r="L583" s="2" t="b">
        <f t="shared" si="37"/>
        <v>1</v>
      </c>
    </row>
    <row r="584" spans="2:12">
      <c r="B584" s="2">
        <v>10</v>
      </c>
      <c r="C584" s="2">
        <v>4</v>
      </c>
      <c r="D584" s="2">
        <v>3</v>
      </c>
      <c r="E584" s="2">
        <v>2</v>
      </c>
      <c r="F584" s="2">
        <v>3</v>
      </c>
      <c r="G584" s="2">
        <v>10</v>
      </c>
      <c r="H584" s="2">
        <v>5</v>
      </c>
      <c r="I584" s="2">
        <v>3</v>
      </c>
      <c r="J584" s="2">
        <v>2</v>
      </c>
      <c r="K584" s="2">
        <v>4</v>
      </c>
      <c r="L584" s="2" t="b">
        <f t="shared" si="37"/>
        <v>1</v>
      </c>
    </row>
    <row r="585" spans="2:12">
      <c r="B585" s="2">
        <v>8</v>
      </c>
      <c r="C585" s="2">
        <v>4</v>
      </c>
      <c r="D585" s="2">
        <v>4</v>
      </c>
      <c r="E585" s="2">
        <v>1</v>
      </c>
      <c r="F585" s="2">
        <v>2</v>
      </c>
      <c r="G585" s="2">
        <v>9</v>
      </c>
      <c r="H585" s="2">
        <v>3</v>
      </c>
      <c r="I585" s="2">
        <v>3</v>
      </c>
      <c r="J585" s="2">
        <v>1</v>
      </c>
      <c r="K585" s="2">
        <v>4</v>
      </c>
      <c r="L585" s="2" t="b">
        <f t="shared" si="37"/>
        <v>1</v>
      </c>
    </row>
    <row r="586" spans="2:12">
      <c r="B586" s="2">
        <v>10</v>
      </c>
      <c r="C586" s="2">
        <v>4</v>
      </c>
      <c r="D586" s="2">
        <v>4</v>
      </c>
      <c r="E586" s="2">
        <v>10</v>
      </c>
      <c r="F586" s="2">
        <v>2</v>
      </c>
      <c r="G586" s="2">
        <v>10</v>
      </c>
      <c r="H586" s="2">
        <v>5</v>
      </c>
      <c r="I586" s="2">
        <v>3</v>
      </c>
      <c r="J586" s="2">
        <v>3</v>
      </c>
      <c r="K586" s="2">
        <v>4</v>
      </c>
      <c r="L586" s="2" t="b">
        <f t="shared" si="37"/>
        <v>1</v>
      </c>
    </row>
    <row r="587" spans="2:12">
      <c r="B587" s="2">
        <v>10</v>
      </c>
      <c r="C587" s="2">
        <v>4</v>
      </c>
      <c r="D587" s="2">
        <v>4</v>
      </c>
      <c r="E587" s="2">
        <v>10</v>
      </c>
      <c r="F587" s="2">
        <v>6</v>
      </c>
      <c r="G587" s="2">
        <v>10</v>
      </c>
      <c r="H587" s="2">
        <v>5</v>
      </c>
      <c r="I587" s="2">
        <v>5</v>
      </c>
      <c r="J587" s="2">
        <v>1</v>
      </c>
      <c r="K587" s="2">
        <v>4</v>
      </c>
      <c r="L587" s="2" t="b">
        <f t="shared" si="37"/>
        <v>1</v>
      </c>
    </row>
    <row r="588" spans="2:12">
      <c r="B588" s="2">
        <v>8</v>
      </c>
      <c r="C588" s="2">
        <v>4</v>
      </c>
      <c r="D588" s="2">
        <v>7</v>
      </c>
      <c r="E588" s="2">
        <v>1</v>
      </c>
      <c r="F588" s="2">
        <v>3</v>
      </c>
      <c r="G588" s="2">
        <v>10</v>
      </c>
      <c r="H588" s="2">
        <v>3</v>
      </c>
      <c r="I588" s="2">
        <v>9</v>
      </c>
      <c r="J588" s="2">
        <v>2</v>
      </c>
      <c r="K588" s="2">
        <v>4</v>
      </c>
      <c r="L588" s="2" t="b">
        <f t="shared" si="37"/>
        <v>1</v>
      </c>
    </row>
    <row r="589" spans="2:12">
      <c r="B589" s="2">
        <v>1</v>
      </c>
      <c r="C589" s="2">
        <v>4</v>
      </c>
      <c r="D589" s="2">
        <v>3</v>
      </c>
      <c r="E589" s="2">
        <v>10</v>
      </c>
      <c r="F589" s="2">
        <v>4</v>
      </c>
      <c r="G589" s="2">
        <v>10</v>
      </c>
      <c r="H589" s="2">
        <v>5</v>
      </c>
      <c r="I589" s="2">
        <v>6</v>
      </c>
      <c r="J589" s="2">
        <v>1</v>
      </c>
      <c r="K589" s="2">
        <v>4</v>
      </c>
      <c r="L589" s="2" t="b">
        <f t="shared" si="37"/>
        <v>1</v>
      </c>
    </row>
    <row r="590" spans="2:12">
      <c r="B590" s="2">
        <v>10</v>
      </c>
      <c r="C590" s="2">
        <v>4</v>
      </c>
      <c r="D590" s="2">
        <v>6</v>
      </c>
      <c r="E590" s="2">
        <v>1</v>
      </c>
      <c r="F590" s="2">
        <v>2</v>
      </c>
      <c r="G590" s="2">
        <v>10</v>
      </c>
      <c r="H590" s="2">
        <v>5</v>
      </c>
      <c r="I590" s="2">
        <v>3</v>
      </c>
      <c r="J590" s="2">
        <v>1</v>
      </c>
      <c r="K590" s="2">
        <v>4</v>
      </c>
      <c r="L590" s="2" t="b">
        <f t="shared" si="37"/>
        <v>1</v>
      </c>
    </row>
    <row r="591" spans="2:12">
      <c r="B591" s="2">
        <v>7</v>
      </c>
      <c r="C591" s="2">
        <v>4</v>
      </c>
      <c r="D591" s="2">
        <v>5</v>
      </c>
      <c r="E591" s="2">
        <v>10</v>
      </c>
      <c r="F591" s="2">
        <v>2</v>
      </c>
      <c r="G591" s="2">
        <v>10</v>
      </c>
      <c r="H591" s="2">
        <v>3</v>
      </c>
      <c r="I591" s="2">
        <v>8</v>
      </c>
      <c r="J591" s="2">
        <v>2</v>
      </c>
      <c r="K591" s="2">
        <v>4</v>
      </c>
      <c r="L591" s="2" t="b">
        <f t="shared" si="37"/>
        <v>1</v>
      </c>
    </row>
    <row r="592" spans="2:12">
      <c r="B592" s="2">
        <v>10</v>
      </c>
      <c r="C592" s="2">
        <v>4</v>
      </c>
      <c r="D592" s="2">
        <v>4</v>
      </c>
      <c r="E592" s="2">
        <v>6</v>
      </c>
      <c r="F592" s="2">
        <v>2</v>
      </c>
      <c r="G592" s="2">
        <v>10</v>
      </c>
      <c r="H592" s="2">
        <v>2</v>
      </c>
      <c r="I592" s="2">
        <v>3</v>
      </c>
      <c r="J592" s="2">
        <v>1</v>
      </c>
      <c r="K592" s="2">
        <v>4</v>
      </c>
      <c r="L592" s="2" t="b">
        <f t="shared" si="37"/>
        <v>1</v>
      </c>
    </row>
    <row r="593" spans="2:12">
      <c r="B593" s="2">
        <v>5</v>
      </c>
      <c r="C593" s="2">
        <v>4</v>
      </c>
      <c r="D593" s="2">
        <v>3</v>
      </c>
      <c r="E593" s="2">
        <v>1</v>
      </c>
      <c r="F593" s="2">
        <v>2</v>
      </c>
      <c r="G593" s="2" t="s">
        <v>8</v>
      </c>
      <c r="H593" s="2">
        <v>2</v>
      </c>
      <c r="I593" s="2">
        <v>3</v>
      </c>
      <c r="J593" s="2">
        <v>1</v>
      </c>
      <c r="K593" s="2">
        <v>2</v>
      </c>
      <c r="L593" s="2" t="b">
        <f t="shared" si="37"/>
        <v>0</v>
      </c>
    </row>
    <row r="594" spans="2:12">
      <c r="B594" s="2">
        <v>8</v>
      </c>
      <c r="C594" s="2">
        <v>4</v>
      </c>
      <c r="D594" s="2">
        <v>10</v>
      </c>
      <c r="E594" s="2">
        <v>5</v>
      </c>
      <c r="F594" s="2">
        <v>4</v>
      </c>
      <c r="G594" s="2">
        <v>4</v>
      </c>
      <c r="H594" s="2">
        <v>7</v>
      </c>
      <c r="I594" s="2">
        <v>10</v>
      </c>
      <c r="J594" s="2">
        <v>1</v>
      </c>
      <c r="K594" s="2">
        <v>4</v>
      </c>
      <c r="L594" s="2" t="b">
        <f t="shared" si="37"/>
        <v>1</v>
      </c>
    </row>
    <row r="595" spans="2:12">
      <c r="B595" s="2">
        <v>4</v>
      </c>
      <c r="C595" s="2">
        <v>4</v>
      </c>
      <c r="D595" s="2">
        <v>4</v>
      </c>
      <c r="E595" s="2">
        <v>4</v>
      </c>
      <c r="F595" s="2">
        <v>6</v>
      </c>
      <c r="G595" s="2">
        <v>5</v>
      </c>
      <c r="H595" s="2">
        <v>7</v>
      </c>
      <c r="I595" s="2">
        <v>3</v>
      </c>
      <c r="J595" s="2">
        <v>1</v>
      </c>
      <c r="K595" s="2">
        <v>2</v>
      </c>
      <c r="L595" s="2" t="b">
        <f t="shared" si="37"/>
        <v>0</v>
      </c>
    </row>
    <row r="596" spans="2:12">
      <c r="B596" s="2">
        <v>5</v>
      </c>
      <c r="C596" s="2">
        <v>4</v>
      </c>
      <c r="D596" s="2">
        <v>6</v>
      </c>
      <c r="E596" s="2">
        <v>10</v>
      </c>
      <c r="F596" s="2">
        <v>2</v>
      </c>
      <c r="G596" s="2">
        <v>10</v>
      </c>
      <c r="H596" s="2">
        <v>4</v>
      </c>
      <c r="I596" s="2">
        <v>1</v>
      </c>
      <c r="J596" s="2">
        <v>1</v>
      </c>
      <c r="K596" s="2">
        <v>4</v>
      </c>
      <c r="L596" s="2" t="b">
        <f t="shared" si="37"/>
        <v>1</v>
      </c>
    </row>
    <row r="597" spans="2:12">
      <c r="B597" s="2">
        <v>10</v>
      </c>
      <c r="C597" s="2">
        <v>4</v>
      </c>
      <c r="D597" s="2">
        <v>6</v>
      </c>
      <c r="E597" s="2">
        <v>4</v>
      </c>
      <c r="F597" s="2">
        <v>5</v>
      </c>
      <c r="G597" s="2">
        <v>10</v>
      </c>
      <c r="H597" s="2">
        <v>7</v>
      </c>
      <c r="I597" s="2">
        <v>1</v>
      </c>
      <c r="J597" s="2">
        <v>1</v>
      </c>
      <c r="K597" s="2">
        <v>4</v>
      </c>
      <c r="L597" s="2" t="b">
        <f t="shared" si="37"/>
        <v>1</v>
      </c>
    </row>
    <row r="598" spans="2:12">
      <c r="B598" s="2">
        <v>10</v>
      </c>
      <c r="C598" s="2">
        <v>4</v>
      </c>
      <c r="D598" s="2">
        <v>7</v>
      </c>
      <c r="E598" s="2">
        <v>2</v>
      </c>
      <c r="F598" s="2">
        <v>2</v>
      </c>
      <c r="G598" s="2">
        <v>8</v>
      </c>
      <c r="H598" s="2">
        <v>6</v>
      </c>
      <c r="I598" s="2">
        <v>1</v>
      </c>
      <c r="J598" s="2">
        <v>1</v>
      </c>
      <c r="K598" s="2">
        <v>4</v>
      </c>
      <c r="L598" s="2" t="b">
        <f t="shared" si="37"/>
        <v>1</v>
      </c>
    </row>
    <row r="599" spans="2:12">
      <c r="B599" s="2">
        <v>5</v>
      </c>
      <c r="C599" s="2">
        <v>4</v>
      </c>
      <c r="D599" s="2">
        <v>6</v>
      </c>
      <c r="E599" s="2">
        <v>6</v>
      </c>
      <c r="F599" s="2">
        <v>4</v>
      </c>
      <c r="G599" s="2">
        <v>10</v>
      </c>
      <c r="H599" s="2">
        <v>4</v>
      </c>
      <c r="I599" s="2">
        <v>3</v>
      </c>
      <c r="J599" s="2">
        <v>1</v>
      </c>
      <c r="K599" s="2">
        <v>4</v>
      </c>
      <c r="L599" s="2" t="b">
        <f t="shared" si="37"/>
        <v>1</v>
      </c>
    </row>
    <row r="600" spans="2:12">
      <c r="B600" s="2">
        <v>3</v>
      </c>
      <c r="C600" s="2">
        <v>4</v>
      </c>
      <c r="D600" s="2">
        <v>4</v>
      </c>
      <c r="E600" s="2">
        <v>10</v>
      </c>
      <c r="F600" s="2">
        <v>5</v>
      </c>
      <c r="G600" s="2">
        <v>1</v>
      </c>
      <c r="H600" s="2">
        <v>3</v>
      </c>
      <c r="I600" s="2">
        <v>3</v>
      </c>
      <c r="J600" s="2">
        <v>1</v>
      </c>
      <c r="K600" s="2">
        <v>4</v>
      </c>
      <c r="L600" s="2" t="b">
        <f t="shared" si="37"/>
        <v>1</v>
      </c>
    </row>
    <row r="601" spans="2:12">
      <c r="B601" s="2">
        <v>3</v>
      </c>
      <c r="C601" s="2">
        <v>4</v>
      </c>
      <c r="D601" s="2">
        <v>5</v>
      </c>
      <c r="E601" s="2">
        <v>3</v>
      </c>
      <c r="F601" s="2">
        <v>7</v>
      </c>
      <c r="G601" s="2">
        <v>3</v>
      </c>
      <c r="H601" s="2">
        <v>4</v>
      </c>
      <c r="I601" s="2">
        <v>6</v>
      </c>
      <c r="J601" s="2">
        <v>1</v>
      </c>
      <c r="K601" s="2">
        <v>2</v>
      </c>
      <c r="L601" s="2" t="b">
        <f t="shared" si="37"/>
        <v>0</v>
      </c>
    </row>
    <row r="602" spans="2:12">
      <c r="B602" s="2">
        <v>4</v>
      </c>
      <c r="C602" s="2">
        <v>4</v>
      </c>
      <c r="D602" s="2">
        <v>4</v>
      </c>
      <c r="E602" s="2">
        <v>2</v>
      </c>
      <c r="F602" s="2">
        <v>2</v>
      </c>
      <c r="G602" s="2">
        <v>3</v>
      </c>
      <c r="H602" s="2">
        <v>2</v>
      </c>
      <c r="I602" s="2">
        <v>1</v>
      </c>
      <c r="J602" s="2">
        <v>1</v>
      </c>
      <c r="K602" s="2">
        <v>2</v>
      </c>
      <c r="L602" s="2" t="b">
        <f t="shared" ref="L602:L665" si="38">IF(K602=4, TRUE, FALSE)</f>
        <v>0</v>
      </c>
    </row>
    <row r="603" spans="2:12">
      <c r="B603" s="2">
        <v>10</v>
      </c>
      <c r="C603" s="2">
        <v>4</v>
      </c>
      <c r="D603" s="2">
        <v>3</v>
      </c>
      <c r="E603" s="2">
        <v>10</v>
      </c>
      <c r="F603" s="2">
        <v>4</v>
      </c>
      <c r="G603" s="2">
        <v>10</v>
      </c>
      <c r="H603" s="2">
        <v>10</v>
      </c>
      <c r="I603" s="2">
        <v>1</v>
      </c>
      <c r="J603" s="2">
        <v>1</v>
      </c>
      <c r="K603" s="2">
        <v>4</v>
      </c>
      <c r="L603" s="2" t="b">
        <f t="shared" si="38"/>
        <v>1</v>
      </c>
    </row>
    <row r="604" spans="2:12">
      <c r="B604" s="2">
        <v>10</v>
      </c>
      <c r="C604" s="2">
        <v>4</v>
      </c>
      <c r="D604" s="2">
        <v>5</v>
      </c>
      <c r="E604" s="2">
        <v>4</v>
      </c>
      <c r="F604" s="2">
        <v>3</v>
      </c>
      <c r="G604" s="2">
        <v>5</v>
      </c>
      <c r="H604" s="2">
        <v>7</v>
      </c>
      <c r="I604" s="2">
        <v>3</v>
      </c>
      <c r="J604" s="2">
        <v>1</v>
      </c>
      <c r="K604" s="2">
        <v>4</v>
      </c>
      <c r="L604" s="2" t="b">
        <f t="shared" si="38"/>
        <v>1</v>
      </c>
    </row>
    <row r="605" spans="2:12">
      <c r="B605" s="2">
        <v>7</v>
      </c>
      <c r="C605" s="2">
        <v>4</v>
      </c>
      <c r="D605" s="2">
        <v>4</v>
      </c>
      <c r="E605" s="2">
        <v>3</v>
      </c>
      <c r="F605" s="2">
        <v>4</v>
      </c>
      <c r="G605" s="2">
        <v>10</v>
      </c>
      <c r="H605" s="2">
        <v>6</v>
      </c>
      <c r="I605" s="2">
        <v>9</v>
      </c>
      <c r="J605" s="2">
        <v>1</v>
      </c>
      <c r="K605" s="2">
        <v>4</v>
      </c>
      <c r="L605" s="2" t="b">
        <f t="shared" si="38"/>
        <v>1</v>
      </c>
    </row>
    <row r="606" spans="2:12">
      <c r="B606" s="2">
        <v>4</v>
      </c>
      <c r="C606" s="2">
        <v>4</v>
      </c>
      <c r="D606" s="2">
        <v>2</v>
      </c>
      <c r="E606" s="2">
        <v>1</v>
      </c>
      <c r="F606" s="2">
        <v>2</v>
      </c>
      <c r="G606" s="2">
        <v>5</v>
      </c>
      <c r="H606" s="2">
        <v>2</v>
      </c>
      <c r="I606" s="2">
        <v>1</v>
      </c>
      <c r="J606" s="2">
        <v>2</v>
      </c>
      <c r="K606" s="2">
        <v>2</v>
      </c>
      <c r="L606" s="2" t="b">
        <f t="shared" si="38"/>
        <v>0</v>
      </c>
    </row>
    <row r="607" spans="2:12">
      <c r="B607" s="2">
        <v>8</v>
      </c>
      <c r="C607" s="2">
        <v>4</v>
      </c>
      <c r="D607" s="2">
        <v>4</v>
      </c>
      <c r="E607" s="2">
        <v>1</v>
      </c>
      <c r="F607" s="2">
        <v>6</v>
      </c>
      <c r="G607" s="2">
        <v>10</v>
      </c>
      <c r="H607" s="2">
        <v>2</v>
      </c>
      <c r="I607" s="2">
        <v>5</v>
      </c>
      <c r="J607" s="2">
        <v>2</v>
      </c>
      <c r="K607" s="2">
        <v>4</v>
      </c>
      <c r="L607" s="2" t="b">
        <f t="shared" si="38"/>
        <v>1</v>
      </c>
    </row>
    <row r="608" spans="2:12">
      <c r="B608" s="2">
        <v>5</v>
      </c>
      <c r="C608" s="2">
        <v>4</v>
      </c>
      <c r="D608" s="2">
        <v>6</v>
      </c>
      <c r="E608" s="2">
        <v>8</v>
      </c>
      <c r="F608" s="2">
        <v>4</v>
      </c>
      <c r="G608" s="2">
        <v>1</v>
      </c>
      <c r="H608" s="2">
        <v>8</v>
      </c>
      <c r="I608" s="2">
        <v>10</v>
      </c>
      <c r="J608" s="2">
        <v>1</v>
      </c>
      <c r="K608" s="2">
        <v>4</v>
      </c>
      <c r="L608" s="2" t="b">
        <f t="shared" si="38"/>
        <v>1</v>
      </c>
    </row>
    <row r="609" spans="2:12">
      <c r="B609" s="2">
        <v>10</v>
      </c>
      <c r="C609" s="2">
        <v>4</v>
      </c>
      <c r="D609" s="2">
        <v>3</v>
      </c>
      <c r="E609" s="2">
        <v>10</v>
      </c>
      <c r="F609" s="2">
        <v>3</v>
      </c>
      <c r="G609" s="2">
        <v>10</v>
      </c>
      <c r="H609" s="2">
        <v>7</v>
      </c>
      <c r="I609" s="2">
        <v>1</v>
      </c>
      <c r="J609" s="2">
        <v>2</v>
      </c>
      <c r="K609" s="2">
        <v>4</v>
      </c>
      <c r="L609" s="2" t="b">
        <f t="shared" si="38"/>
        <v>1</v>
      </c>
    </row>
    <row r="610" spans="2:12">
      <c r="B610" s="2">
        <v>5</v>
      </c>
      <c r="C610" s="2">
        <v>4</v>
      </c>
      <c r="D610" s="2">
        <v>5</v>
      </c>
      <c r="E610" s="2">
        <v>1</v>
      </c>
      <c r="F610" s="2">
        <v>8</v>
      </c>
      <c r="G610" s="2">
        <v>1</v>
      </c>
      <c r="H610" s="2">
        <v>3</v>
      </c>
      <c r="I610" s="2">
        <v>6</v>
      </c>
      <c r="J610" s="2">
        <v>1</v>
      </c>
      <c r="K610" s="2">
        <v>2</v>
      </c>
      <c r="L610" s="2" t="b">
        <f t="shared" si="38"/>
        <v>0</v>
      </c>
    </row>
    <row r="611" spans="2:12">
      <c r="B611" s="2">
        <v>10</v>
      </c>
      <c r="C611" s="2">
        <v>5</v>
      </c>
      <c r="D611" s="2">
        <v>5</v>
      </c>
      <c r="E611" s="2">
        <v>3</v>
      </c>
      <c r="F611" s="2">
        <v>6</v>
      </c>
      <c r="G611" s="2">
        <v>7</v>
      </c>
      <c r="H611" s="2">
        <v>7</v>
      </c>
      <c r="I611" s="2">
        <v>10</v>
      </c>
      <c r="J611" s="2">
        <v>1</v>
      </c>
      <c r="K611" s="2">
        <v>4</v>
      </c>
      <c r="L611" s="2" t="b">
        <f t="shared" si="38"/>
        <v>1</v>
      </c>
    </row>
    <row r="612" spans="2:12">
      <c r="B612" s="2">
        <v>2</v>
      </c>
      <c r="C612" s="2">
        <v>5</v>
      </c>
      <c r="D612" s="2">
        <v>3</v>
      </c>
      <c r="E612" s="2">
        <v>3</v>
      </c>
      <c r="F612" s="2">
        <v>6</v>
      </c>
      <c r="G612" s="2">
        <v>7</v>
      </c>
      <c r="H612" s="2">
        <v>7</v>
      </c>
      <c r="I612" s="2">
        <v>5</v>
      </c>
      <c r="J612" s="2">
        <v>1</v>
      </c>
      <c r="K612" s="2">
        <v>4</v>
      </c>
      <c r="L612" s="2" t="b">
        <f t="shared" si="38"/>
        <v>1</v>
      </c>
    </row>
    <row r="613" spans="2:12">
      <c r="B613" s="2">
        <v>9</v>
      </c>
      <c r="C613" s="2">
        <v>5</v>
      </c>
      <c r="D613" s="2">
        <v>8</v>
      </c>
      <c r="E613" s="2">
        <v>1</v>
      </c>
      <c r="F613" s="2">
        <v>2</v>
      </c>
      <c r="G613" s="2">
        <v>3</v>
      </c>
      <c r="H613" s="2">
        <v>2</v>
      </c>
      <c r="I613" s="2">
        <v>1</v>
      </c>
      <c r="J613" s="2">
        <v>5</v>
      </c>
      <c r="K613" s="2">
        <v>4</v>
      </c>
      <c r="L613" s="2" t="b">
        <f t="shared" si="38"/>
        <v>1</v>
      </c>
    </row>
    <row r="614" spans="2:12">
      <c r="B614" s="2">
        <v>5</v>
      </c>
      <c r="C614" s="2">
        <v>5</v>
      </c>
      <c r="D614" s="2">
        <v>5</v>
      </c>
      <c r="E614" s="2">
        <v>8</v>
      </c>
      <c r="F614" s="2">
        <v>10</v>
      </c>
      <c r="G614" s="2">
        <v>8</v>
      </c>
      <c r="H614" s="2">
        <v>7</v>
      </c>
      <c r="I614" s="2">
        <v>3</v>
      </c>
      <c r="J614" s="2">
        <v>7</v>
      </c>
      <c r="K614" s="2">
        <v>4</v>
      </c>
      <c r="L614" s="2" t="b">
        <f t="shared" si="38"/>
        <v>1</v>
      </c>
    </row>
    <row r="615" spans="2:12">
      <c r="B615" s="2">
        <v>10</v>
      </c>
      <c r="C615" s="2">
        <v>5</v>
      </c>
      <c r="D615" s="2">
        <v>5</v>
      </c>
      <c r="E615" s="2">
        <v>6</v>
      </c>
      <c r="F615" s="2">
        <v>8</v>
      </c>
      <c r="G615" s="2">
        <v>8</v>
      </c>
      <c r="H615" s="2">
        <v>7</v>
      </c>
      <c r="I615" s="2">
        <v>1</v>
      </c>
      <c r="J615" s="2">
        <v>1</v>
      </c>
      <c r="K615" s="2">
        <v>4</v>
      </c>
      <c r="L615" s="2" t="b">
        <f t="shared" si="38"/>
        <v>1</v>
      </c>
    </row>
    <row r="616" spans="2:12">
      <c r="B616" s="2">
        <v>9</v>
      </c>
      <c r="C616" s="2">
        <v>5</v>
      </c>
      <c r="D616" s="2">
        <v>5</v>
      </c>
      <c r="E616" s="2">
        <v>2</v>
      </c>
      <c r="F616" s="2">
        <v>2</v>
      </c>
      <c r="G616" s="2">
        <v>2</v>
      </c>
      <c r="H616" s="2">
        <v>5</v>
      </c>
      <c r="I616" s="2">
        <v>1</v>
      </c>
      <c r="J616" s="2">
        <v>1</v>
      </c>
      <c r="K616" s="2">
        <v>4</v>
      </c>
      <c r="L616" s="2" t="b">
        <f t="shared" si="38"/>
        <v>1</v>
      </c>
    </row>
    <row r="617" spans="2:12">
      <c r="B617" s="2">
        <v>3</v>
      </c>
      <c r="C617" s="2">
        <v>5</v>
      </c>
      <c r="D617" s="2">
        <v>7</v>
      </c>
      <c r="E617" s="2">
        <v>8</v>
      </c>
      <c r="F617" s="2">
        <v>8</v>
      </c>
      <c r="G617" s="2">
        <v>9</v>
      </c>
      <c r="H617" s="2">
        <v>7</v>
      </c>
      <c r="I617" s="2">
        <v>10</v>
      </c>
      <c r="J617" s="2">
        <v>7</v>
      </c>
      <c r="K617" s="2">
        <v>4</v>
      </c>
      <c r="L617" s="2" t="b">
        <f t="shared" si="38"/>
        <v>1</v>
      </c>
    </row>
    <row r="618" spans="2:12">
      <c r="B618" s="2">
        <v>7</v>
      </c>
      <c r="C618" s="2">
        <v>5</v>
      </c>
      <c r="D618" s="2">
        <v>6</v>
      </c>
      <c r="E618" s="2">
        <v>10</v>
      </c>
      <c r="F618" s="2">
        <v>5</v>
      </c>
      <c r="G618" s="2">
        <v>10</v>
      </c>
      <c r="H618" s="2">
        <v>7</v>
      </c>
      <c r="I618" s="2">
        <v>9</v>
      </c>
      <c r="J618" s="2">
        <v>4</v>
      </c>
      <c r="K618" s="2">
        <v>4</v>
      </c>
      <c r="L618" s="2" t="b">
        <f t="shared" si="38"/>
        <v>1</v>
      </c>
    </row>
    <row r="619" spans="2:12">
      <c r="B619" s="2">
        <v>6</v>
      </c>
      <c r="C619" s="2">
        <v>5</v>
      </c>
      <c r="D619" s="2">
        <v>4</v>
      </c>
      <c r="E619" s="2">
        <v>4</v>
      </c>
      <c r="F619" s="2">
        <v>3</v>
      </c>
      <c r="G619" s="2">
        <v>9</v>
      </c>
      <c r="H619" s="2">
        <v>7</v>
      </c>
      <c r="I619" s="2">
        <v>8</v>
      </c>
      <c r="J619" s="2">
        <v>3</v>
      </c>
      <c r="K619" s="2">
        <v>4</v>
      </c>
      <c r="L619" s="2" t="b">
        <f t="shared" si="38"/>
        <v>1</v>
      </c>
    </row>
    <row r="620" spans="2:12">
      <c r="B620" s="2">
        <v>4</v>
      </c>
      <c r="C620" s="2">
        <v>5</v>
      </c>
      <c r="D620" s="2">
        <v>5</v>
      </c>
      <c r="E620" s="2">
        <v>10</v>
      </c>
      <c r="F620" s="2">
        <v>4</v>
      </c>
      <c r="G620" s="2">
        <v>10</v>
      </c>
      <c r="H620" s="2">
        <v>7</v>
      </c>
      <c r="I620" s="2">
        <v>5</v>
      </c>
      <c r="J620" s="2">
        <v>8</v>
      </c>
      <c r="K620" s="2">
        <v>4</v>
      </c>
      <c r="L620" s="2" t="b">
        <f t="shared" si="38"/>
        <v>1</v>
      </c>
    </row>
    <row r="621" spans="2:12">
      <c r="B621" s="2">
        <v>7</v>
      </c>
      <c r="C621" s="2">
        <v>5</v>
      </c>
      <c r="D621" s="2">
        <v>3</v>
      </c>
      <c r="E621" s="2">
        <v>7</v>
      </c>
      <c r="F621" s="2">
        <v>4</v>
      </c>
      <c r="G621" s="2">
        <v>10</v>
      </c>
      <c r="H621" s="2">
        <v>7</v>
      </c>
      <c r="I621" s="2">
        <v>5</v>
      </c>
      <c r="J621" s="2">
        <v>5</v>
      </c>
      <c r="K621" s="2">
        <v>4</v>
      </c>
      <c r="L621" s="2" t="b">
        <f t="shared" si="38"/>
        <v>1</v>
      </c>
    </row>
    <row r="622" spans="2:12">
      <c r="B622" s="2">
        <v>9</v>
      </c>
      <c r="C622" s="2">
        <v>5</v>
      </c>
      <c r="D622" s="2">
        <v>5</v>
      </c>
      <c r="E622" s="2">
        <v>4</v>
      </c>
      <c r="F622" s="2">
        <v>4</v>
      </c>
      <c r="G622" s="2">
        <v>5</v>
      </c>
      <c r="H622" s="2">
        <v>4</v>
      </c>
      <c r="I622" s="2">
        <v>3</v>
      </c>
      <c r="J622" s="2">
        <v>3</v>
      </c>
      <c r="K622" s="2">
        <v>4</v>
      </c>
      <c r="L622" s="2" t="b">
        <f t="shared" si="38"/>
        <v>1</v>
      </c>
    </row>
    <row r="623" spans="2:12">
      <c r="B623" s="2">
        <v>5</v>
      </c>
      <c r="C623" s="2">
        <v>5</v>
      </c>
      <c r="D623" s="2">
        <v>5</v>
      </c>
      <c r="E623" s="2">
        <v>6</v>
      </c>
      <c r="F623" s="2">
        <v>3</v>
      </c>
      <c r="G623" s="2">
        <v>10</v>
      </c>
      <c r="H623" s="2">
        <v>3</v>
      </c>
      <c r="I623" s="2">
        <v>1</v>
      </c>
      <c r="J623" s="2">
        <v>1</v>
      </c>
      <c r="K623" s="2">
        <v>4</v>
      </c>
      <c r="L623" s="2" t="b">
        <f t="shared" si="38"/>
        <v>1</v>
      </c>
    </row>
    <row r="624" spans="2:12">
      <c r="B624" s="2">
        <v>1</v>
      </c>
      <c r="C624" s="2">
        <v>5</v>
      </c>
      <c r="D624" s="2">
        <v>8</v>
      </c>
      <c r="E624" s="2">
        <v>6</v>
      </c>
      <c r="F624" s="2">
        <v>5</v>
      </c>
      <c r="G624" s="2">
        <v>8</v>
      </c>
      <c r="H624" s="2">
        <v>7</v>
      </c>
      <c r="I624" s="2">
        <v>10</v>
      </c>
      <c r="J624" s="2">
        <v>1</v>
      </c>
      <c r="K624" s="2">
        <v>4</v>
      </c>
      <c r="L624" s="2" t="b">
        <f t="shared" si="38"/>
        <v>1</v>
      </c>
    </row>
    <row r="625" spans="2:12">
      <c r="B625" s="2">
        <v>10</v>
      </c>
      <c r="C625" s="2">
        <v>5</v>
      </c>
      <c r="D625" s="2">
        <v>6</v>
      </c>
      <c r="E625" s="2">
        <v>10</v>
      </c>
      <c r="F625" s="2">
        <v>6</v>
      </c>
      <c r="G625" s="2">
        <v>10</v>
      </c>
      <c r="H625" s="2">
        <v>7</v>
      </c>
      <c r="I625" s="2">
        <v>7</v>
      </c>
      <c r="J625" s="2">
        <v>10</v>
      </c>
      <c r="K625" s="2">
        <v>4</v>
      </c>
      <c r="L625" s="2" t="b">
        <f t="shared" si="38"/>
        <v>1</v>
      </c>
    </row>
    <row r="626" spans="2:12">
      <c r="B626" s="2">
        <v>7</v>
      </c>
      <c r="C626" s="2">
        <v>5</v>
      </c>
      <c r="D626" s="2">
        <v>10</v>
      </c>
      <c r="E626" s="2">
        <v>10</v>
      </c>
      <c r="F626" s="2">
        <v>10</v>
      </c>
      <c r="G626" s="2">
        <v>10</v>
      </c>
      <c r="H626" s="2">
        <v>4</v>
      </c>
      <c r="I626" s="2">
        <v>10</v>
      </c>
      <c r="J626" s="2">
        <v>3</v>
      </c>
      <c r="K626" s="2">
        <v>4</v>
      </c>
      <c r="L626" s="2" t="b">
        <f t="shared" si="38"/>
        <v>1</v>
      </c>
    </row>
    <row r="627" spans="2:12">
      <c r="B627" s="2">
        <v>7</v>
      </c>
      <c r="C627" s="2">
        <v>5</v>
      </c>
      <c r="D627" s="2">
        <v>6</v>
      </c>
      <c r="E627" s="2">
        <v>3</v>
      </c>
      <c r="F627" s="2">
        <v>3</v>
      </c>
      <c r="G627" s="2">
        <v>8</v>
      </c>
      <c r="H627" s="2">
        <v>7</v>
      </c>
      <c r="I627" s="2">
        <v>4</v>
      </c>
      <c r="J627" s="2">
        <v>1</v>
      </c>
      <c r="K627" s="2">
        <v>4</v>
      </c>
      <c r="L627" s="2" t="b">
        <f t="shared" si="38"/>
        <v>1</v>
      </c>
    </row>
    <row r="628" spans="2:12">
      <c r="B628" s="2">
        <v>10</v>
      </c>
      <c r="C628" s="2">
        <v>5</v>
      </c>
      <c r="D628" s="2">
        <v>5</v>
      </c>
      <c r="E628" s="2">
        <v>6</v>
      </c>
      <c r="F628" s="2">
        <v>3</v>
      </c>
      <c r="G628" s="2">
        <v>10</v>
      </c>
      <c r="H628" s="2">
        <v>7</v>
      </c>
      <c r="I628" s="2">
        <v>9</v>
      </c>
      <c r="J628" s="2">
        <v>2</v>
      </c>
      <c r="K628" s="2">
        <v>4</v>
      </c>
      <c r="L628" s="2" t="b">
        <f t="shared" si="38"/>
        <v>1</v>
      </c>
    </row>
    <row r="629" spans="2:12">
      <c r="B629" s="2">
        <v>10</v>
      </c>
      <c r="C629" s="2">
        <v>5</v>
      </c>
      <c r="D629" s="2">
        <v>7</v>
      </c>
      <c r="E629" s="2">
        <v>4</v>
      </c>
      <c r="F629" s="2">
        <v>4</v>
      </c>
      <c r="G629" s="2">
        <v>10</v>
      </c>
      <c r="H629" s="2">
        <v>8</v>
      </c>
      <c r="I629" s="2">
        <v>9</v>
      </c>
      <c r="J629" s="2">
        <v>1</v>
      </c>
      <c r="K629" s="2">
        <v>4</v>
      </c>
      <c r="L629" s="2" t="b">
        <f t="shared" si="38"/>
        <v>1</v>
      </c>
    </row>
    <row r="630" spans="2:12">
      <c r="B630" s="2">
        <v>10</v>
      </c>
      <c r="C630" s="2">
        <v>5</v>
      </c>
      <c r="D630" s="2">
        <v>8</v>
      </c>
      <c r="E630" s="2">
        <v>10</v>
      </c>
      <c r="F630" s="2">
        <v>3</v>
      </c>
      <c r="G630" s="2">
        <v>10</v>
      </c>
      <c r="H630" s="2">
        <v>5</v>
      </c>
      <c r="I630" s="2">
        <v>1</v>
      </c>
      <c r="J630" s="2">
        <v>3</v>
      </c>
      <c r="K630" s="2">
        <v>4</v>
      </c>
      <c r="L630" s="2" t="b">
        <f t="shared" si="38"/>
        <v>1</v>
      </c>
    </row>
    <row r="631" spans="2:12">
      <c r="B631" s="2">
        <v>10</v>
      </c>
      <c r="C631" s="2">
        <v>5</v>
      </c>
      <c r="D631" s="2">
        <v>7</v>
      </c>
      <c r="E631" s="2">
        <v>3</v>
      </c>
      <c r="F631" s="2">
        <v>3</v>
      </c>
      <c r="G631" s="2">
        <v>7</v>
      </c>
      <c r="H631" s="2">
        <v>3</v>
      </c>
      <c r="I631" s="2">
        <v>3</v>
      </c>
      <c r="J631" s="2">
        <v>8</v>
      </c>
      <c r="K631" s="2">
        <v>4</v>
      </c>
      <c r="L631" s="2" t="b">
        <f t="shared" si="38"/>
        <v>1</v>
      </c>
    </row>
    <row r="632" spans="2:12">
      <c r="B632" s="2">
        <v>5</v>
      </c>
      <c r="C632" s="2">
        <v>5</v>
      </c>
      <c r="D632" s="2">
        <v>7</v>
      </c>
      <c r="E632" s="2">
        <v>8</v>
      </c>
      <c r="F632" s="2">
        <v>6</v>
      </c>
      <c r="G632" s="2">
        <v>10</v>
      </c>
      <c r="H632" s="2">
        <v>7</v>
      </c>
      <c r="I632" s="2">
        <v>4</v>
      </c>
      <c r="J632" s="2">
        <v>1</v>
      </c>
      <c r="K632" s="2">
        <v>4</v>
      </c>
      <c r="L632" s="2" t="b">
        <f t="shared" si="38"/>
        <v>1</v>
      </c>
    </row>
    <row r="633" spans="2:12">
      <c r="B633" s="2">
        <v>5</v>
      </c>
      <c r="C633" s="2">
        <v>5</v>
      </c>
      <c r="D633" s="2">
        <v>5</v>
      </c>
      <c r="E633" s="2">
        <v>2</v>
      </c>
      <c r="F633" s="2">
        <v>5</v>
      </c>
      <c r="G633" s="2">
        <v>10</v>
      </c>
      <c r="H633" s="2">
        <v>4</v>
      </c>
      <c r="I633" s="2">
        <v>3</v>
      </c>
      <c r="J633" s="2">
        <v>1</v>
      </c>
      <c r="K633" s="2">
        <v>4</v>
      </c>
      <c r="L633" s="2" t="b">
        <f t="shared" si="38"/>
        <v>1</v>
      </c>
    </row>
    <row r="634" spans="2:12">
      <c r="B634" s="2">
        <v>6</v>
      </c>
      <c r="C634" s="2">
        <v>5</v>
      </c>
      <c r="D634" s="2">
        <v>5</v>
      </c>
      <c r="E634" s="2">
        <v>8</v>
      </c>
      <c r="F634" s="2">
        <v>4</v>
      </c>
      <c r="G634" s="2">
        <v>10</v>
      </c>
      <c r="H634" s="2">
        <v>3</v>
      </c>
      <c r="I634" s="2">
        <v>4</v>
      </c>
      <c r="J634" s="2">
        <v>1</v>
      </c>
      <c r="K634" s="2">
        <v>4</v>
      </c>
      <c r="L634" s="2" t="b">
        <f t="shared" si="38"/>
        <v>1</v>
      </c>
    </row>
    <row r="635" spans="2:12">
      <c r="B635" s="2">
        <v>8</v>
      </c>
      <c r="C635" s="2">
        <v>5</v>
      </c>
      <c r="D635" s="2">
        <v>5</v>
      </c>
      <c r="E635" s="2">
        <v>5</v>
      </c>
      <c r="F635" s="2">
        <v>2</v>
      </c>
      <c r="G635" s="2">
        <v>10</v>
      </c>
      <c r="H635" s="2">
        <v>4</v>
      </c>
      <c r="I635" s="2">
        <v>3</v>
      </c>
      <c r="J635" s="2">
        <v>1</v>
      </c>
      <c r="K635" s="2">
        <v>4</v>
      </c>
      <c r="L635" s="2" t="b">
        <f t="shared" si="38"/>
        <v>1</v>
      </c>
    </row>
    <row r="636" spans="2:12">
      <c r="B636" s="2">
        <v>8</v>
      </c>
      <c r="C636" s="2">
        <v>5</v>
      </c>
      <c r="D636" s="2">
        <v>6</v>
      </c>
      <c r="E636" s="2">
        <v>2</v>
      </c>
      <c r="F636" s="2">
        <v>3</v>
      </c>
      <c r="G636" s="2">
        <v>10</v>
      </c>
      <c r="H636" s="2">
        <v>6</v>
      </c>
      <c r="I636" s="2">
        <v>6</v>
      </c>
      <c r="J636" s="2">
        <v>1</v>
      </c>
      <c r="K636" s="2">
        <v>4</v>
      </c>
      <c r="L636" s="2" t="b">
        <f t="shared" si="38"/>
        <v>1</v>
      </c>
    </row>
    <row r="637" spans="2:12">
      <c r="B637" s="2">
        <v>4</v>
      </c>
      <c r="C637" s="2">
        <v>5</v>
      </c>
      <c r="D637" s="2">
        <v>5</v>
      </c>
      <c r="E637" s="2">
        <v>8</v>
      </c>
      <c r="F637" s="2">
        <v>6</v>
      </c>
      <c r="G637" s="2">
        <v>10</v>
      </c>
      <c r="H637" s="2">
        <v>10</v>
      </c>
      <c r="I637" s="2">
        <v>7</v>
      </c>
      <c r="J637" s="2">
        <v>1</v>
      </c>
      <c r="K637" s="2">
        <v>4</v>
      </c>
      <c r="L637" s="2" t="b">
        <f t="shared" si="38"/>
        <v>1</v>
      </c>
    </row>
    <row r="638" spans="2:12">
      <c r="B638" s="2">
        <v>7</v>
      </c>
      <c r="C638" s="2">
        <v>5</v>
      </c>
      <c r="D638" s="2">
        <v>6</v>
      </c>
      <c r="E638" s="2">
        <v>10</v>
      </c>
      <c r="F638" s="2">
        <v>4</v>
      </c>
      <c r="G638" s="2">
        <v>10</v>
      </c>
      <c r="H638" s="2">
        <v>5</v>
      </c>
      <c r="I638" s="2">
        <v>3</v>
      </c>
      <c r="J638" s="2">
        <v>1</v>
      </c>
      <c r="K638" s="2">
        <v>4</v>
      </c>
      <c r="L638" s="2" t="b">
        <f t="shared" si="38"/>
        <v>1</v>
      </c>
    </row>
    <row r="639" spans="2:12">
      <c r="B639" s="2">
        <v>2</v>
      </c>
      <c r="C639" s="2">
        <v>5</v>
      </c>
      <c r="D639" s="2">
        <v>7</v>
      </c>
      <c r="E639" s="2">
        <v>6</v>
      </c>
      <c r="F639" s="2">
        <v>4</v>
      </c>
      <c r="G639" s="2">
        <v>10</v>
      </c>
      <c r="H639" s="2">
        <v>7</v>
      </c>
      <c r="I639" s="2">
        <v>6</v>
      </c>
      <c r="J639" s="2">
        <v>1</v>
      </c>
      <c r="K639" s="2">
        <v>4</v>
      </c>
      <c r="L639" s="2" t="b">
        <f t="shared" si="38"/>
        <v>1</v>
      </c>
    </row>
    <row r="640" spans="2:12">
      <c r="B640" s="2">
        <v>10</v>
      </c>
      <c r="C640" s="2">
        <v>5</v>
      </c>
      <c r="D640" s="2">
        <v>10</v>
      </c>
      <c r="E640" s="2">
        <v>3</v>
      </c>
      <c r="F640" s="2">
        <v>5</v>
      </c>
      <c r="G640" s="2">
        <v>8</v>
      </c>
      <c r="H640" s="2">
        <v>7</v>
      </c>
      <c r="I640" s="2">
        <v>8</v>
      </c>
      <c r="J640" s="2">
        <v>3</v>
      </c>
      <c r="K640" s="2">
        <v>4</v>
      </c>
      <c r="L640" s="2" t="b">
        <f t="shared" si="38"/>
        <v>1</v>
      </c>
    </row>
    <row r="641" spans="2:12">
      <c r="B641" s="2">
        <v>6</v>
      </c>
      <c r="C641" s="2">
        <v>6</v>
      </c>
      <c r="D641" s="2">
        <v>6</v>
      </c>
      <c r="E641" s="2">
        <v>9</v>
      </c>
      <c r="F641" s="2">
        <v>6</v>
      </c>
      <c r="G641" s="2" t="s">
        <v>8</v>
      </c>
      <c r="H641" s="2">
        <v>7</v>
      </c>
      <c r="I641" s="2">
        <v>8</v>
      </c>
      <c r="J641" s="2">
        <v>1</v>
      </c>
      <c r="K641" s="2">
        <v>2</v>
      </c>
      <c r="L641" s="2" t="b">
        <f t="shared" si="38"/>
        <v>0</v>
      </c>
    </row>
    <row r="642" spans="2:12">
      <c r="B642" s="2">
        <v>5</v>
      </c>
      <c r="C642" s="2">
        <v>6</v>
      </c>
      <c r="D642" s="2">
        <v>5</v>
      </c>
      <c r="E642" s="2">
        <v>6</v>
      </c>
      <c r="F642" s="2">
        <v>10</v>
      </c>
      <c r="G642" s="2">
        <v>1</v>
      </c>
      <c r="H642" s="2">
        <v>3</v>
      </c>
      <c r="I642" s="2">
        <v>1</v>
      </c>
      <c r="J642" s="2">
        <v>1</v>
      </c>
      <c r="K642" s="2">
        <v>4</v>
      </c>
      <c r="L642" s="2" t="b">
        <f t="shared" si="38"/>
        <v>1</v>
      </c>
    </row>
    <row r="643" spans="2:12">
      <c r="B643" s="2">
        <v>10</v>
      </c>
      <c r="C643" s="2">
        <v>6</v>
      </c>
      <c r="D643" s="2">
        <v>6</v>
      </c>
      <c r="E643" s="2">
        <v>3</v>
      </c>
      <c r="F643" s="2">
        <v>4</v>
      </c>
      <c r="G643" s="2">
        <v>5</v>
      </c>
      <c r="H643" s="2">
        <v>3</v>
      </c>
      <c r="I643" s="2">
        <v>6</v>
      </c>
      <c r="J643" s="2">
        <v>1</v>
      </c>
      <c r="K643" s="2">
        <v>4</v>
      </c>
      <c r="L643" s="2" t="b">
        <f t="shared" si="38"/>
        <v>1</v>
      </c>
    </row>
    <row r="644" spans="2:12">
      <c r="B644" s="2">
        <v>10</v>
      </c>
      <c r="C644" s="2">
        <v>6</v>
      </c>
      <c r="D644" s="2">
        <v>4</v>
      </c>
      <c r="E644" s="2">
        <v>1</v>
      </c>
      <c r="F644" s="2">
        <v>3</v>
      </c>
      <c r="G644" s="2">
        <v>4</v>
      </c>
      <c r="H644" s="2">
        <v>3</v>
      </c>
      <c r="I644" s="2">
        <v>2</v>
      </c>
      <c r="J644" s="2">
        <v>3</v>
      </c>
      <c r="K644" s="2">
        <v>4</v>
      </c>
      <c r="L644" s="2" t="b">
        <f t="shared" si="38"/>
        <v>1</v>
      </c>
    </row>
    <row r="645" spans="2:12">
      <c r="B645" s="2">
        <v>3</v>
      </c>
      <c r="C645" s="2">
        <v>6</v>
      </c>
      <c r="D645" s="2">
        <v>6</v>
      </c>
      <c r="E645" s="2">
        <v>6</v>
      </c>
      <c r="F645" s="2">
        <v>5</v>
      </c>
      <c r="G645" s="2">
        <v>10</v>
      </c>
      <c r="H645" s="2">
        <v>6</v>
      </c>
      <c r="I645" s="2">
        <v>8</v>
      </c>
      <c r="J645" s="2">
        <v>3</v>
      </c>
      <c r="K645" s="2">
        <v>4</v>
      </c>
      <c r="L645" s="2" t="b">
        <f t="shared" si="38"/>
        <v>1</v>
      </c>
    </row>
    <row r="646" spans="2:12">
      <c r="B646" s="2">
        <v>9</v>
      </c>
      <c r="C646" s="2">
        <v>6</v>
      </c>
      <c r="D646" s="2">
        <v>9</v>
      </c>
      <c r="E646" s="2">
        <v>2</v>
      </c>
      <c r="F646" s="2">
        <v>10</v>
      </c>
      <c r="G646" s="2">
        <v>6</v>
      </c>
      <c r="H646" s="2">
        <v>2</v>
      </c>
      <c r="I646" s="2">
        <v>9</v>
      </c>
      <c r="J646" s="2">
        <v>10</v>
      </c>
      <c r="K646" s="2">
        <v>4</v>
      </c>
      <c r="L646" s="2" t="b">
        <f t="shared" si="38"/>
        <v>1</v>
      </c>
    </row>
    <row r="647" spans="2:12">
      <c r="B647" s="2">
        <v>1</v>
      </c>
      <c r="C647" s="2">
        <v>6</v>
      </c>
      <c r="D647" s="2">
        <v>8</v>
      </c>
      <c r="E647" s="2">
        <v>10</v>
      </c>
      <c r="F647" s="2">
        <v>8</v>
      </c>
      <c r="G647" s="2">
        <v>10</v>
      </c>
      <c r="H647" s="2">
        <v>5</v>
      </c>
      <c r="I647" s="2">
        <v>7</v>
      </c>
      <c r="J647" s="2">
        <v>1</v>
      </c>
      <c r="K647" s="2">
        <v>4</v>
      </c>
      <c r="L647" s="2" t="b">
        <f t="shared" si="38"/>
        <v>1</v>
      </c>
    </row>
    <row r="648" spans="2:12">
      <c r="B648" s="2">
        <v>8</v>
      </c>
      <c r="C648" s="2">
        <v>6</v>
      </c>
      <c r="D648" s="2">
        <v>4</v>
      </c>
      <c r="E648" s="2">
        <v>3</v>
      </c>
      <c r="F648" s="2">
        <v>5</v>
      </c>
      <c r="G648" s="2">
        <v>9</v>
      </c>
      <c r="H648" s="2">
        <v>3</v>
      </c>
      <c r="I648" s="2">
        <v>1</v>
      </c>
      <c r="J648" s="2">
        <v>1</v>
      </c>
      <c r="K648" s="2">
        <v>4</v>
      </c>
      <c r="L648" s="2" t="b">
        <f t="shared" si="38"/>
        <v>1</v>
      </c>
    </row>
    <row r="649" spans="2:12">
      <c r="B649" s="2">
        <v>5</v>
      </c>
      <c r="C649" s="2">
        <v>6</v>
      </c>
      <c r="D649" s="2">
        <v>7</v>
      </c>
      <c r="E649" s="2">
        <v>8</v>
      </c>
      <c r="F649" s="2">
        <v>8</v>
      </c>
      <c r="G649" s="2">
        <v>10</v>
      </c>
      <c r="H649" s="2">
        <v>3</v>
      </c>
      <c r="I649" s="2">
        <v>10</v>
      </c>
      <c r="J649" s="2">
        <v>3</v>
      </c>
      <c r="K649" s="2">
        <v>4</v>
      </c>
      <c r="L649" s="2" t="b">
        <f t="shared" si="38"/>
        <v>1</v>
      </c>
    </row>
    <row r="650" spans="2:12">
      <c r="B650" s="2">
        <v>8</v>
      </c>
      <c r="C650" s="2">
        <v>6</v>
      </c>
      <c r="D650" s="2">
        <v>5</v>
      </c>
      <c r="E650" s="2">
        <v>4</v>
      </c>
      <c r="F650" s="2">
        <v>3</v>
      </c>
      <c r="G650" s="2">
        <v>10</v>
      </c>
      <c r="H650" s="2">
        <v>6</v>
      </c>
      <c r="I650" s="2">
        <v>1</v>
      </c>
      <c r="J650" s="2">
        <v>1</v>
      </c>
      <c r="K650" s="2">
        <v>4</v>
      </c>
      <c r="L650" s="2" t="b">
        <f t="shared" si="38"/>
        <v>1</v>
      </c>
    </row>
    <row r="651" spans="2:12">
      <c r="B651" s="2">
        <v>10</v>
      </c>
      <c r="C651" s="2">
        <v>6</v>
      </c>
      <c r="D651" s="2">
        <v>4</v>
      </c>
      <c r="E651" s="2">
        <v>3</v>
      </c>
      <c r="F651" s="2">
        <v>10</v>
      </c>
      <c r="G651" s="2">
        <v>10</v>
      </c>
      <c r="H651" s="2">
        <v>9</v>
      </c>
      <c r="I651" s="2">
        <v>10</v>
      </c>
      <c r="J651" s="2">
        <v>1</v>
      </c>
      <c r="K651" s="2">
        <v>4</v>
      </c>
      <c r="L651" s="2" t="b">
        <f t="shared" si="38"/>
        <v>1</v>
      </c>
    </row>
    <row r="652" spans="2:12">
      <c r="B652" s="2">
        <v>5</v>
      </c>
      <c r="C652" s="2">
        <v>6</v>
      </c>
      <c r="D652" s="2">
        <v>6</v>
      </c>
      <c r="E652" s="2">
        <v>2</v>
      </c>
      <c r="F652" s="2">
        <v>4</v>
      </c>
      <c r="G652" s="2">
        <v>10</v>
      </c>
      <c r="H652" s="2">
        <v>3</v>
      </c>
      <c r="I652" s="2">
        <v>6</v>
      </c>
      <c r="J652" s="2">
        <v>1</v>
      </c>
      <c r="K652" s="2">
        <v>4</v>
      </c>
      <c r="L652" s="2" t="b">
        <f t="shared" si="38"/>
        <v>1</v>
      </c>
    </row>
    <row r="653" spans="2:12">
      <c r="B653" s="2">
        <v>5</v>
      </c>
      <c r="C653" s="2">
        <v>6</v>
      </c>
      <c r="D653" s="2">
        <v>6</v>
      </c>
      <c r="E653" s="2">
        <v>8</v>
      </c>
      <c r="F653" s="2">
        <v>6</v>
      </c>
      <c r="G653" s="2">
        <v>10</v>
      </c>
      <c r="H653" s="2">
        <v>4</v>
      </c>
      <c r="I653" s="2">
        <v>10</v>
      </c>
      <c r="J653" s="2">
        <v>4</v>
      </c>
      <c r="K653" s="2">
        <v>4</v>
      </c>
      <c r="L653" s="2" t="b">
        <f t="shared" si="38"/>
        <v>1</v>
      </c>
    </row>
    <row r="654" spans="2:12">
      <c r="B654" s="2">
        <v>8</v>
      </c>
      <c r="C654" s="2">
        <v>6</v>
      </c>
      <c r="D654" s="2">
        <v>4</v>
      </c>
      <c r="E654" s="2">
        <v>10</v>
      </c>
      <c r="F654" s="2">
        <v>10</v>
      </c>
      <c r="G654" s="2">
        <v>1</v>
      </c>
      <c r="H654" s="2">
        <v>3</v>
      </c>
      <c r="I654" s="2">
        <v>5</v>
      </c>
      <c r="J654" s="2">
        <v>1</v>
      </c>
      <c r="K654" s="2">
        <v>4</v>
      </c>
      <c r="L654" s="2" t="b">
        <f t="shared" si="38"/>
        <v>1</v>
      </c>
    </row>
    <row r="655" spans="2:12">
      <c r="B655" s="2">
        <v>4</v>
      </c>
      <c r="C655" s="2">
        <v>6</v>
      </c>
      <c r="D655" s="2">
        <v>5</v>
      </c>
      <c r="E655" s="2">
        <v>6</v>
      </c>
      <c r="F655" s="2">
        <v>7</v>
      </c>
      <c r="G655" s="2" t="s">
        <v>8</v>
      </c>
      <c r="H655" s="2">
        <v>4</v>
      </c>
      <c r="I655" s="2">
        <v>9</v>
      </c>
      <c r="J655" s="2">
        <v>1</v>
      </c>
      <c r="K655" s="2">
        <v>2</v>
      </c>
      <c r="L655" s="2" t="b">
        <f t="shared" si="38"/>
        <v>0</v>
      </c>
    </row>
    <row r="656" spans="2:12">
      <c r="B656" s="2">
        <v>7</v>
      </c>
      <c r="C656" s="2">
        <v>6</v>
      </c>
      <c r="D656" s="2">
        <v>3</v>
      </c>
      <c r="E656" s="2">
        <v>2</v>
      </c>
      <c r="F656" s="2">
        <v>5</v>
      </c>
      <c r="G656" s="2">
        <v>10</v>
      </c>
      <c r="H656" s="2">
        <v>7</v>
      </c>
      <c r="I656" s="2">
        <v>4</v>
      </c>
      <c r="J656" s="2">
        <v>6</v>
      </c>
      <c r="K656" s="2">
        <v>4</v>
      </c>
      <c r="L656" s="2" t="b">
        <f t="shared" si="38"/>
        <v>1</v>
      </c>
    </row>
    <row r="657" spans="2:12">
      <c r="B657" s="2">
        <v>8</v>
      </c>
      <c r="C657" s="2">
        <v>6</v>
      </c>
      <c r="D657" s="2">
        <v>7</v>
      </c>
      <c r="E657" s="2">
        <v>3</v>
      </c>
      <c r="F657" s="2">
        <v>3</v>
      </c>
      <c r="G657" s="2">
        <v>10</v>
      </c>
      <c r="H657" s="2">
        <v>3</v>
      </c>
      <c r="I657" s="2">
        <v>4</v>
      </c>
      <c r="J657" s="2">
        <v>2</v>
      </c>
      <c r="K657" s="2">
        <v>4</v>
      </c>
      <c r="L657" s="2" t="b">
        <f t="shared" si="38"/>
        <v>1</v>
      </c>
    </row>
    <row r="658" spans="2:12">
      <c r="B658" s="2">
        <v>7</v>
      </c>
      <c r="C658" s="2">
        <v>6</v>
      </c>
      <c r="D658" s="2">
        <v>4</v>
      </c>
      <c r="E658" s="2">
        <v>8</v>
      </c>
      <c r="F658" s="2">
        <v>10</v>
      </c>
      <c r="G658" s="2">
        <v>10</v>
      </c>
      <c r="H658" s="2">
        <v>9</v>
      </c>
      <c r="I658" s="2">
        <v>5</v>
      </c>
      <c r="J658" s="2">
        <v>3</v>
      </c>
      <c r="K658" s="2">
        <v>4</v>
      </c>
      <c r="L658" s="2" t="b">
        <f t="shared" si="38"/>
        <v>1</v>
      </c>
    </row>
    <row r="659" spans="2:12">
      <c r="B659" s="2">
        <v>10</v>
      </c>
      <c r="C659" s="2">
        <v>6</v>
      </c>
      <c r="D659" s="2">
        <v>3</v>
      </c>
      <c r="E659" s="2">
        <v>6</v>
      </c>
      <c r="F659" s="2">
        <v>4</v>
      </c>
      <c r="G659" s="2">
        <v>10</v>
      </c>
      <c r="H659" s="2">
        <v>7</v>
      </c>
      <c r="I659" s="2">
        <v>8</v>
      </c>
      <c r="J659" s="2">
        <v>4</v>
      </c>
      <c r="K659" s="2">
        <v>4</v>
      </c>
      <c r="L659" s="2" t="b">
        <f t="shared" si="38"/>
        <v>1</v>
      </c>
    </row>
    <row r="660" spans="2:12">
      <c r="B660" s="2">
        <v>7</v>
      </c>
      <c r="C660" s="2">
        <v>6</v>
      </c>
      <c r="D660" s="2">
        <v>6</v>
      </c>
      <c r="E660" s="2">
        <v>3</v>
      </c>
      <c r="F660" s="2">
        <v>2</v>
      </c>
      <c r="G660" s="2">
        <v>10</v>
      </c>
      <c r="H660" s="2">
        <v>7</v>
      </c>
      <c r="I660" s="2">
        <v>1</v>
      </c>
      <c r="J660" s="2">
        <v>1</v>
      </c>
      <c r="K660" s="2">
        <v>4</v>
      </c>
      <c r="L660" s="2" t="b">
        <f t="shared" si="38"/>
        <v>1</v>
      </c>
    </row>
    <row r="661" spans="2:12">
      <c r="B661" s="2">
        <v>10</v>
      </c>
      <c r="C661" s="2">
        <v>6</v>
      </c>
      <c r="D661" s="2">
        <v>5</v>
      </c>
      <c r="E661" s="2">
        <v>8</v>
      </c>
      <c r="F661" s="2">
        <v>5</v>
      </c>
      <c r="G661" s="2">
        <v>10</v>
      </c>
      <c r="H661" s="2">
        <v>8</v>
      </c>
      <c r="I661" s="2">
        <v>6</v>
      </c>
      <c r="J661" s="2">
        <v>1</v>
      </c>
      <c r="K661" s="2">
        <v>4</v>
      </c>
      <c r="L661" s="2" t="b">
        <f t="shared" si="38"/>
        <v>1</v>
      </c>
    </row>
    <row r="662" spans="2:12">
      <c r="B662" s="2">
        <v>10</v>
      </c>
      <c r="C662" s="2">
        <v>6</v>
      </c>
      <c r="D662" s="2">
        <v>6</v>
      </c>
      <c r="E662" s="2">
        <v>2</v>
      </c>
      <c r="F662" s="2">
        <v>4</v>
      </c>
      <c r="G662" s="2">
        <v>10</v>
      </c>
      <c r="H662" s="2">
        <v>9</v>
      </c>
      <c r="I662" s="2">
        <v>7</v>
      </c>
      <c r="J662" s="2">
        <v>1</v>
      </c>
      <c r="K662" s="2">
        <v>4</v>
      </c>
      <c r="L662" s="2" t="b">
        <f t="shared" si="38"/>
        <v>1</v>
      </c>
    </row>
    <row r="663" spans="2:12">
      <c r="B663" s="2">
        <v>6</v>
      </c>
      <c r="C663" s="2">
        <v>6</v>
      </c>
      <c r="D663" s="2">
        <v>6</v>
      </c>
      <c r="E663" s="2">
        <v>5</v>
      </c>
      <c r="F663" s="2">
        <v>4</v>
      </c>
      <c r="G663" s="2">
        <v>10</v>
      </c>
      <c r="H663" s="2">
        <v>7</v>
      </c>
      <c r="I663" s="2">
        <v>6</v>
      </c>
      <c r="J663" s="2">
        <v>2</v>
      </c>
      <c r="K663" s="2">
        <v>4</v>
      </c>
      <c r="L663" s="2" t="b">
        <f t="shared" si="38"/>
        <v>1</v>
      </c>
    </row>
    <row r="664" spans="2:12">
      <c r="B664" s="2">
        <v>3</v>
      </c>
      <c r="C664" s="2">
        <v>6</v>
      </c>
      <c r="D664" s="2">
        <v>4</v>
      </c>
      <c r="E664" s="2">
        <v>10</v>
      </c>
      <c r="F664" s="2">
        <v>3</v>
      </c>
      <c r="G664" s="2">
        <v>3</v>
      </c>
      <c r="H664" s="2">
        <v>3</v>
      </c>
      <c r="I664" s="2">
        <v>4</v>
      </c>
      <c r="J664" s="2">
        <v>1</v>
      </c>
      <c r="K664" s="2">
        <v>4</v>
      </c>
      <c r="L664" s="2" t="b">
        <f t="shared" si="38"/>
        <v>1</v>
      </c>
    </row>
    <row r="665" spans="2:12">
      <c r="B665" s="2">
        <v>6</v>
      </c>
      <c r="C665" s="2">
        <v>6</v>
      </c>
      <c r="D665" s="2">
        <v>7</v>
      </c>
      <c r="E665" s="2">
        <v>10</v>
      </c>
      <c r="F665" s="2">
        <v>3</v>
      </c>
      <c r="G665" s="2">
        <v>10</v>
      </c>
      <c r="H665" s="2">
        <v>8</v>
      </c>
      <c r="I665" s="2">
        <v>10</v>
      </c>
      <c r="J665" s="2">
        <v>2</v>
      </c>
      <c r="K665" s="2">
        <v>4</v>
      </c>
      <c r="L665" s="2" t="b">
        <f t="shared" si="38"/>
        <v>1</v>
      </c>
    </row>
    <row r="666" spans="2:12">
      <c r="B666" s="2">
        <v>7</v>
      </c>
      <c r="C666" s="2">
        <v>6</v>
      </c>
      <c r="D666" s="2">
        <v>10</v>
      </c>
      <c r="E666" s="2">
        <v>5</v>
      </c>
      <c r="F666" s="2">
        <v>3</v>
      </c>
      <c r="G666" s="2">
        <v>10</v>
      </c>
      <c r="H666" s="2">
        <v>9</v>
      </c>
      <c r="I666" s="2">
        <v>10</v>
      </c>
      <c r="J666" s="2">
        <v>2</v>
      </c>
      <c r="K666" s="2">
        <v>4</v>
      </c>
      <c r="L666" s="2" t="b">
        <f t="shared" ref="L666:L729" si="39">IF(K666=4, TRUE, FALSE)</f>
        <v>1</v>
      </c>
    </row>
    <row r="667" spans="2:12">
      <c r="B667" s="2">
        <v>4</v>
      </c>
      <c r="C667" s="2">
        <v>6</v>
      </c>
      <c r="D667" s="2">
        <v>6</v>
      </c>
      <c r="E667" s="2">
        <v>5</v>
      </c>
      <c r="F667" s="2">
        <v>7</v>
      </c>
      <c r="G667" s="2">
        <v>6</v>
      </c>
      <c r="H667" s="2">
        <v>7</v>
      </c>
      <c r="I667" s="2">
        <v>7</v>
      </c>
      <c r="J667" s="2">
        <v>3</v>
      </c>
      <c r="K667" s="2">
        <v>4</v>
      </c>
      <c r="L667" s="2" t="b">
        <f t="shared" si="39"/>
        <v>1</v>
      </c>
    </row>
    <row r="668" spans="2:12">
      <c r="B668" s="2">
        <v>8</v>
      </c>
      <c r="C668" s="2">
        <v>7</v>
      </c>
      <c r="D668" s="2">
        <v>5</v>
      </c>
      <c r="E668" s="2">
        <v>10</v>
      </c>
      <c r="F668" s="2">
        <v>7</v>
      </c>
      <c r="G668" s="2">
        <v>9</v>
      </c>
      <c r="H668" s="2">
        <v>5</v>
      </c>
      <c r="I668" s="2">
        <v>5</v>
      </c>
      <c r="J668" s="2">
        <v>4</v>
      </c>
      <c r="K668" s="2">
        <v>4</v>
      </c>
      <c r="L668" s="2" t="b">
        <f t="shared" si="39"/>
        <v>1</v>
      </c>
    </row>
    <row r="669" spans="2:12">
      <c r="B669" s="2">
        <v>10</v>
      </c>
      <c r="C669" s="2">
        <v>7</v>
      </c>
      <c r="D669" s="2">
        <v>7</v>
      </c>
      <c r="E669" s="2">
        <v>6</v>
      </c>
      <c r="F669" s="2">
        <v>4</v>
      </c>
      <c r="G669" s="2">
        <v>10</v>
      </c>
      <c r="H669" s="2">
        <v>4</v>
      </c>
      <c r="I669" s="2">
        <v>1</v>
      </c>
      <c r="J669" s="2">
        <v>2</v>
      </c>
      <c r="K669" s="2">
        <v>4</v>
      </c>
      <c r="L669" s="2" t="b">
        <f t="shared" si="39"/>
        <v>1</v>
      </c>
    </row>
    <row r="670" spans="2:12">
      <c r="B670" s="2">
        <v>10</v>
      </c>
      <c r="C670" s="2">
        <v>7</v>
      </c>
      <c r="D670" s="2">
        <v>7</v>
      </c>
      <c r="E670" s="2">
        <v>3</v>
      </c>
      <c r="F670" s="2">
        <v>8</v>
      </c>
      <c r="G670" s="2">
        <v>5</v>
      </c>
      <c r="H670" s="2">
        <v>7</v>
      </c>
      <c r="I670" s="2">
        <v>4</v>
      </c>
      <c r="J670" s="2">
        <v>3</v>
      </c>
      <c r="K670" s="2">
        <v>4</v>
      </c>
      <c r="L670" s="2" t="b">
        <f t="shared" si="39"/>
        <v>1</v>
      </c>
    </row>
    <row r="671" spans="2:12">
      <c r="B671" s="2">
        <v>3</v>
      </c>
      <c r="C671" s="2">
        <v>7</v>
      </c>
      <c r="D671" s="2">
        <v>7</v>
      </c>
      <c r="E671" s="2">
        <v>4</v>
      </c>
      <c r="F671" s="2">
        <v>4</v>
      </c>
      <c r="G671" s="2">
        <v>9</v>
      </c>
      <c r="H671" s="2">
        <v>4</v>
      </c>
      <c r="I671" s="2">
        <v>8</v>
      </c>
      <c r="J671" s="2">
        <v>1</v>
      </c>
      <c r="K671" s="2">
        <v>4</v>
      </c>
      <c r="L671" s="2" t="b">
        <f t="shared" si="39"/>
        <v>1</v>
      </c>
    </row>
    <row r="672" spans="2:12">
      <c r="B672" s="2">
        <v>10</v>
      </c>
      <c r="C672" s="2">
        <v>7</v>
      </c>
      <c r="D672" s="2">
        <v>7</v>
      </c>
      <c r="E672" s="2">
        <v>4</v>
      </c>
      <c r="F672" s="2">
        <v>5</v>
      </c>
      <c r="G672" s="2">
        <v>10</v>
      </c>
      <c r="H672" s="2">
        <v>5</v>
      </c>
      <c r="I672" s="2">
        <v>7</v>
      </c>
      <c r="J672" s="2">
        <v>2</v>
      </c>
      <c r="K672" s="2">
        <v>4</v>
      </c>
      <c r="L672" s="2" t="b">
        <f t="shared" si="39"/>
        <v>1</v>
      </c>
    </row>
    <row r="673" spans="2:12">
      <c r="B673" s="2">
        <v>8</v>
      </c>
      <c r="C673" s="2">
        <v>7</v>
      </c>
      <c r="D673" s="2">
        <v>6</v>
      </c>
      <c r="E673" s="2">
        <v>4</v>
      </c>
      <c r="F673" s="2">
        <v>4</v>
      </c>
      <c r="G673" s="2">
        <v>10</v>
      </c>
      <c r="H673" s="2">
        <v>5</v>
      </c>
      <c r="I673" s="2">
        <v>1</v>
      </c>
      <c r="J673" s="2">
        <v>1</v>
      </c>
      <c r="K673" s="2">
        <v>4</v>
      </c>
      <c r="L673" s="2" t="b">
        <f t="shared" si="39"/>
        <v>1</v>
      </c>
    </row>
    <row r="674" spans="2:12">
      <c r="B674" s="2">
        <v>9</v>
      </c>
      <c r="C674" s="2">
        <v>7</v>
      </c>
      <c r="D674" s="2">
        <v>7</v>
      </c>
      <c r="E674" s="2">
        <v>5</v>
      </c>
      <c r="F674" s="2">
        <v>5</v>
      </c>
      <c r="G674" s="2">
        <v>10</v>
      </c>
      <c r="H674" s="2">
        <v>7</v>
      </c>
      <c r="I674" s="2">
        <v>8</v>
      </c>
      <c r="J674" s="2">
        <v>3</v>
      </c>
      <c r="K674" s="2">
        <v>4</v>
      </c>
      <c r="L674" s="2" t="b">
        <f t="shared" si="39"/>
        <v>1</v>
      </c>
    </row>
    <row r="675" spans="2:12">
      <c r="B675" s="2">
        <v>8</v>
      </c>
      <c r="C675" s="2">
        <v>7</v>
      </c>
      <c r="D675" s="2">
        <v>8</v>
      </c>
      <c r="E675" s="2">
        <v>7</v>
      </c>
      <c r="F675" s="2">
        <v>5</v>
      </c>
      <c r="G675" s="2">
        <v>5</v>
      </c>
      <c r="H675" s="2">
        <v>5</v>
      </c>
      <c r="I675" s="2">
        <v>10</v>
      </c>
      <c r="J675" s="2">
        <v>2</v>
      </c>
      <c r="K675" s="2">
        <v>4</v>
      </c>
      <c r="L675" s="2" t="b">
        <f t="shared" si="39"/>
        <v>1</v>
      </c>
    </row>
    <row r="676" spans="2:12">
      <c r="B676" s="2">
        <v>5</v>
      </c>
      <c r="C676" s="2">
        <v>7</v>
      </c>
      <c r="D676" s="2">
        <v>7</v>
      </c>
      <c r="E676" s="2">
        <v>1</v>
      </c>
      <c r="F676" s="2">
        <v>5</v>
      </c>
      <c r="G676" s="2">
        <v>8</v>
      </c>
      <c r="H676" s="2">
        <v>3</v>
      </c>
      <c r="I676" s="2">
        <v>4</v>
      </c>
      <c r="J676" s="2">
        <v>1</v>
      </c>
      <c r="K676" s="2">
        <v>2</v>
      </c>
      <c r="L676" s="2" t="b">
        <f t="shared" si="39"/>
        <v>0</v>
      </c>
    </row>
    <row r="677" spans="2:12">
      <c r="B677" s="2">
        <v>2</v>
      </c>
      <c r="C677" s="2">
        <v>7</v>
      </c>
      <c r="D677" s="2">
        <v>10</v>
      </c>
      <c r="E677" s="2">
        <v>10</v>
      </c>
      <c r="F677" s="2">
        <v>7</v>
      </c>
      <c r="G677" s="2">
        <v>10</v>
      </c>
      <c r="H677" s="2">
        <v>4</v>
      </c>
      <c r="I677" s="2">
        <v>9</v>
      </c>
      <c r="J677" s="2">
        <v>4</v>
      </c>
      <c r="K677" s="2">
        <v>4</v>
      </c>
      <c r="L677" s="2" t="b">
        <f t="shared" si="39"/>
        <v>1</v>
      </c>
    </row>
    <row r="678" spans="2:12">
      <c r="B678" s="2">
        <v>8</v>
      </c>
      <c r="C678" s="2">
        <v>7</v>
      </c>
      <c r="D678" s="2">
        <v>8</v>
      </c>
      <c r="E678" s="2">
        <v>5</v>
      </c>
      <c r="F678" s="2">
        <v>10</v>
      </c>
      <c r="G678" s="2">
        <v>10</v>
      </c>
      <c r="H678" s="2">
        <v>7</v>
      </c>
      <c r="I678" s="2">
        <v>2</v>
      </c>
      <c r="J678" s="2">
        <v>1</v>
      </c>
      <c r="K678" s="2">
        <v>4</v>
      </c>
      <c r="L678" s="2" t="b">
        <f t="shared" si="39"/>
        <v>1</v>
      </c>
    </row>
    <row r="679" spans="2:12">
      <c r="B679" s="2">
        <v>8</v>
      </c>
      <c r="C679" s="2">
        <v>7</v>
      </c>
      <c r="D679" s="2">
        <v>8</v>
      </c>
      <c r="E679" s="2">
        <v>2</v>
      </c>
      <c r="F679" s="2">
        <v>4</v>
      </c>
      <c r="G679" s="2">
        <v>2</v>
      </c>
      <c r="H679" s="2">
        <v>5</v>
      </c>
      <c r="I679" s="2">
        <v>10</v>
      </c>
      <c r="J679" s="2">
        <v>1</v>
      </c>
      <c r="K679" s="2">
        <v>4</v>
      </c>
      <c r="L679" s="2" t="b">
        <f t="shared" si="39"/>
        <v>1</v>
      </c>
    </row>
    <row r="680" spans="2:12">
      <c r="B680" s="2">
        <v>5</v>
      </c>
      <c r="C680" s="2">
        <v>7</v>
      </c>
      <c r="D680" s="2">
        <v>9</v>
      </c>
      <c r="E680" s="2">
        <v>8</v>
      </c>
      <c r="F680" s="2">
        <v>6</v>
      </c>
      <c r="G680" s="2">
        <v>10</v>
      </c>
      <c r="H680" s="2">
        <v>8</v>
      </c>
      <c r="I680" s="2">
        <v>10</v>
      </c>
      <c r="J680" s="2">
        <v>1</v>
      </c>
      <c r="K680" s="2">
        <v>4</v>
      </c>
      <c r="L680" s="2" t="b">
        <f t="shared" si="39"/>
        <v>1</v>
      </c>
    </row>
    <row r="681" spans="2:12">
      <c r="B681" s="2">
        <v>8</v>
      </c>
      <c r="C681" s="2">
        <v>7</v>
      </c>
      <c r="D681" s="2">
        <v>8</v>
      </c>
      <c r="E681" s="2">
        <v>5</v>
      </c>
      <c r="F681" s="2">
        <v>5</v>
      </c>
      <c r="G681" s="2">
        <v>10</v>
      </c>
      <c r="H681" s="2">
        <v>9</v>
      </c>
      <c r="I681" s="2">
        <v>10</v>
      </c>
      <c r="J681" s="2">
        <v>1</v>
      </c>
      <c r="K681" s="2">
        <v>4</v>
      </c>
      <c r="L681" s="2" t="b">
        <f t="shared" si="39"/>
        <v>1</v>
      </c>
    </row>
    <row r="682" spans="2:12">
      <c r="B682" s="2">
        <v>4</v>
      </c>
      <c r="C682" s="2">
        <v>7</v>
      </c>
      <c r="D682" s="2">
        <v>8</v>
      </c>
      <c r="E682" s="2">
        <v>3</v>
      </c>
      <c r="F682" s="2">
        <v>4</v>
      </c>
      <c r="G682" s="2">
        <v>10</v>
      </c>
      <c r="H682" s="2">
        <v>9</v>
      </c>
      <c r="I682" s="2">
        <v>1</v>
      </c>
      <c r="J682" s="2">
        <v>1</v>
      </c>
      <c r="K682" s="2">
        <v>4</v>
      </c>
      <c r="L682" s="2" t="b">
        <f t="shared" si="39"/>
        <v>1</v>
      </c>
    </row>
    <row r="683" spans="2:12">
      <c r="B683" s="2">
        <v>5</v>
      </c>
      <c r="C683" s="2">
        <v>7</v>
      </c>
      <c r="D683" s="2">
        <v>10</v>
      </c>
      <c r="E683" s="2">
        <v>10</v>
      </c>
      <c r="F683" s="2">
        <v>5</v>
      </c>
      <c r="G683" s="2">
        <v>10</v>
      </c>
      <c r="H683" s="2">
        <v>10</v>
      </c>
      <c r="I683" s="2">
        <v>10</v>
      </c>
      <c r="J683" s="2">
        <v>1</v>
      </c>
      <c r="K683" s="2">
        <v>4</v>
      </c>
      <c r="L683" s="2" t="b">
        <f t="shared" si="39"/>
        <v>1</v>
      </c>
    </row>
    <row r="684" spans="2:12">
      <c r="B684" s="2">
        <v>5</v>
      </c>
      <c r="C684" s="2">
        <v>7</v>
      </c>
      <c r="D684" s="2">
        <v>10</v>
      </c>
      <c r="E684" s="2">
        <v>6</v>
      </c>
      <c r="F684" s="2">
        <v>5</v>
      </c>
      <c r="G684" s="2">
        <v>10</v>
      </c>
      <c r="H684" s="2">
        <v>7</v>
      </c>
      <c r="I684" s="2">
        <v>5</v>
      </c>
      <c r="J684" s="2">
        <v>1</v>
      </c>
      <c r="K684" s="2">
        <v>4</v>
      </c>
      <c r="L684" s="2" t="b">
        <f t="shared" si="39"/>
        <v>1</v>
      </c>
    </row>
    <row r="685" spans="2:12">
      <c r="B685" s="2">
        <v>8</v>
      </c>
      <c r="C685" s="2">
        <v>7</v>
      </c>
      <c r="D685" s="2">
        <v>4</v>
      </c>
      <c r="E685" s="2">
        <v>4</v>
      </c>
      <c r="F685" s="2">
        <v>5</v>
      </c>
      <c r="G685" s="2">
        <v>3</v>
      </c>
      <c r="H685" s="2">
        <v>5</v>
      </c>
      <c r="I685" s="2">
        <v>10</v>
      </c>
      <c r="J685" s="2">
        <v>1</v>
      </c>
      <c r="K685" s="2">
        <v>4</v>
      </c>
      <c r="L685" s="2" t="b">
        <f t="shared" si="39"/>
        <v>1</v>
      </c>
    </row>
    <row r="686" spans="2:12">
      <c r="B686" s="2">
        <v>5</v>
      </c>
      <c r="C686" s="2">
        <v>7</v>
      </c>
      <c r="D686" s="2">
        <v>4</v>
      </c>
      <c r="E686" s="2">
        <v>1</v>
      </c>
      <c r="F686" s="2">
        <v>6</v>
      </c>
      <c r="G686" s="2">
        <v>1</v>
      </c>
      <c r="H686" s="2">
        <v>7</v>
      </c>
      <c r="I686" s="2">
        <v>10</v>
      </c>
      <c r="J686" s="2">
        <v>3</v>
      </c>
      <c r="K686" s="2">
        <v>4</v>
      </c>
      <c r="L686" s="2" t="b">
        <f t="shared" si="39"/>
        <v>1</v>
      </c>
    </row>
    <row r="687" spans="2:12">
      <c r="B687" s="2">
        <v>6</v>
      </c>
      <c r="C687" s="2">
        <v>8</v>
      </c>
      <c r="D687" s="2">
        <v>8</v>
      </c>
      <c r="E687" s="2">
        <v>1</v>
      </c>
      <c r="F687" s="2">
        <v>3</v>
      </c>
      <c r="G687" s="2">
        <v>4</v>
      </c>
      <c r="H687" s="2">
        <v>3</v>
      </c>
      <c r="I687" s="2">
        <v>7</v>
      </c>
      <c r="J687" s="2">
        <v>1</v>
      </c>
      <c r="K687" s="2">
        <v>2</v>
      </c>
      <c r="L687" s="2" t="b">
        <f t="shared" si="39"/>
        <v>0</v>
      </c>
    </row>
    <row r="688" spans="2:12">
      <c r="B688" s="2">
        <v>7</v>
      </c>
      <c r="C688" s="2">
        <v>8</v>
      </c>
      <c r="D688" s="2">
        <v>7</v>
      </c>
      <c r="E688" s="2">
        <v>2</v>
      </c>
      <c r="F688" s="2">
        <v>4</v>
      </c>
      <c r="G688" s="2">
        <v>8</v>
      </c>
      <c r="H688" s="2">
        <v>3</v>
      </c>
      <c r="I688" s="2">
        <v>8</v>
      </c>
      <c r="J688" s="2">
        <v>2</v>
      </c>
      <c r="K688" s="2">
        <v>4</v>
      </c>
      <c r="L688" s="2" t="b">
        <f t="shared" si="39"/>
        <v>1</v>
      </c>
    </row>
    <row r="689" spans="2:12">
      <c r="B689" s="2">
        <v>8</v>
      </c>
      <c r="C689" s="2">
        <v>8</v>
      </c>
      <c r="D689" s="2">
        <v>7</v>
      </c>
      <c r="E689" s="2">
        <v>4</v>
      </c>
      <c r="F689" s="2">
        <v>10</v>
      </c>
      <c r="G689" s="2">
        <v>10</v>
      </c>
      <c r="H689" s="2">
        <v>7</v>
      </c>
      <c r="I689" s="2">
        <v>8</v>
      </c>
      <c r="J689" s="2">
        <v>7</v>
      </c>
      <c r="K689" s="2">
        <v>4</v>
      </c>
      <c r="L689" s="2" t="b">
        <f t="shared" si="39"/>
        <v>1</v>
      </c>
    </row>
    <row r="690" spans="2:12">
      <c r="B690" s="2">
        <v>10</v>
      </c>
      <c r="C690" s="2">
        <v>8</v>
      </c>
      <c r="D690" s="2">
        <v>10</v>
      </c>
      <c r="E690" s="2">
        <v>10</v>
      </c>
      <c r="F690" s="2">
        <v>6</v>
      </c>
      <c r="G690" s="2">
        <v>1</v>
      </c>
      <c r="H690" s="2">
        <v>3</v>
      </c>
      <c r="I690" s="2">
        <v>1</v>
      </c>
      <c r="J690" s="2">
        <v>10</v>
      </c>
      <c r="K690" s="2">
        <v>4</v>
      </c>
      <c r="L690" s="2" t="b">
        <f t="shared" si="39"/>
        <v>1</v>
      </c>
    </row>
    <row r="691" spans="2:12">
      <c r="B691" s="2">
        <v>5</v>
      </c>
      <c r="C691" s="2">
        <v>8</v>
      </c>
      <c r="D691" s="2">
        <v>7</v>
      </c>
      <c r="E691" s="2">
        <v>7</v>
      </c>
      <c r="F691" s="2">
        <v>10</v>
      </c>
      <c r="G691" s="2">
        <v>10</v>
      </c>
      <c r="H691" s="2">
        <v>5</v>
      </c>
      <c r="I691" s="2">
        <v>7</v>
      </c>
      <c r="J691" s="2">
        <v>1</v>
      </c>
      <c r="K691" s="2">
        <v>4</v>
      </c>
      <c r="L691" s="2" t="b">
        <f t="shared" si="39"/>
        <v>1</v>
      </c>
    </row>
    <row r="692" spans="2:12">
      <c r="B692" s="2">
        <v>5</v>
      </c>
      <c r="C692" s="2">
        <v>8</v>
      </c>
      <c r="D692" s="2">
        <v>8</v>
      </c>
      <c r="E692" s="2">
        <v>8</v>
      </c>
      <c r="F692" s="2">
        <v>5</v>
      </c>
      <c r="G692" s="2">
        <v>10</v>
      </c>
      <c r="H692" s="2">
        <v>7</v>
      </c>
      <c r="I692" s="2">
        <v>8</v>
      </c>
      <c r="J692" s="2">
        <v>1</v>
      </c>
      <c r="K692" s="2">
        <v>4</v>
      </c>
      <c r="L692" s="2" t="b">
        <f t="shared" si="39"/>
        <v>1</v>
      </c>
    </row>
    <row r="693" spans="2:12">
      <c r="B693" s="2">
        <v>5</v>
      </c>
      <c r="C693" s="2">
        <v>8</v>
      </c>
      <c r="D693" s="2">
        <v>4</v>
      </c>
      <c r="E693" s="2">
        <v>10</v>
      </c>
      <c r="F693" s="2">
        <v>5</v>
      </c>
      <c r="G693" s="2">
        <v>8</v>
      </c>
      <c r="H693" s="2">
        <v>9</v>
      </c>
      <c r="I693" s="2">
        <v>10</v>
      </c>
      <c r="J693" s="2">
        <v>1</v>
      </c>
      <c r="K693" s="2">
        <v>4</v>
      </c>
      <c r="L693" s="2" t="b">
        <f t="shared" si="39"/>
        <v>1</v>
      </c>
    </row>
    <row r="694" spans="2:12">
      <c r="B694" s="2">
        <v>10</v>
      </c>
      <c r="C694" s="2">
        <v>8</v>
      </c>
      <c r="D694" s="2">
        <v>8</v>
      </c>
      <c r="E694" s="2">
        <v>4</v>
      </c>
      <c r="F694" s="2">
        <v>10</v>
      </c>
      <c r="G694" s="2">
        <v>10</v>
      </c>
      <c r="H694" s="2">
        <v>8</v>
      </c>
      <c r="I694" s="2">
        <v>1</v>
      </c>
      <c r="J694" s="2">
        <v>1</v>
      </c>
      <c r="K694" s="2">
        <v>4</v>
      </c>
      <c r="L694" s="2" t="b">
        <f t="shared" si="39"/>
        <v>1</v>
      </c>
    </row>
    <row r="695" spans="2:12">
      <c r="B695" s="2">
        <v>6</v>
      </c>
      <c r="C695" s="2">
        <v>8</v>
      </c>
      <c r="D695" s="2">
        <v>7</v>
      </c>
      <c r="E695" s="2">
        <v>5</v>
      </c>
      <c r="F695" s="2">
        <v>6</v>
      </c>
      <c r="G695" s="2">
        <v>8</v>
      </c>
      <c r="H695" s="2">
        <v>8</v>
      </c>
      <c r="I695" s="2">
        <v>9</v>
      </c>
      <c r="J695" s="2">
        <v>2</v>
      </c>
      <c r="K695" s="2">
        <v>4</v>
      </c>
      <c r="L695" s="2" t="b">
        <f t="shared" si="39"/>
        <v>1</v>
      </c>
    </row>
    <row r="696" spans="2:12">
      <c r="B696" s="2">
        <v>10</v>
      </c>
      <c r="C696" s="2">
        <v>8</v>
      </c>
      <c r="D696" s="2">
        <v>8</v>
      </c>
      <c r="E696" s="2">
        <v>2</v>
      </c>
      <c r="F696" s="2">
        <v>8</v>
      </c>
      <c r="G696" s="2">
        <v>10</v>
      </c>
      <c r="H696" s="2">
        <v>4</v>
      </c>
      <c r="I696" s="2">
        <v>8</v>
      </c>
      <c r="J696" s="2">
        <v>10</v>
      </c>
      <c r="K696" s="2">
        <v>4</v>
      </c>
      <c r="L696" s="2" t="b">
        <f t="shared" si="39"/>
        <v>1</v>
      </c>
    </row>
    <row r="697" spans="2:12">
      <c r="B697" s="2">
        <v>9</v>
      </c>
      <c r="C697" s="2">
        <v>8</v>
      </c>
      <c r="D697" s="2">
        <v>8</v>
      </c>
      <c r="E697" s="2">
        <v>5</v>
      </c>
      <c r="F697" s="2">
        <v>6</v>
      </c>
      <c r="G697" s="2">
        <v>2</v>
      </c>
      <c r="H697" s="2">
        <v>4</v>
      </c>
      <c r="I697" s="2">
        <v>10</v>
      </c>
      <c r="J697" s="2">
        <v>4</v>
      </c>
      <c r="K697" s="2">
        <v>4</v>
      </c>
      <c r="L697" s="2" t="b">
        <f t="shared" si="39"/>
        <v>1</v>
      </c>
    </row>
    <row r="698" spans="2:12">
      <c r="B698" s="2">
        <v>8</v>
      </c>
      <c r="C698" s="2">
        <v>8</v>
      </c>
      <c r="D698" s="2">
        <v>9</v>
      </c>
      <c r="E698" s="2">
        <v>4</v>
      </c>
      <c r="F698" s="2">
        <v>5</v>
      </c>
      <c r="G698" s="2">
        <v>10</v>
      </c>
      <c r="H698" s="2">
        <v>7</v>
      </c>
      <c r="I698" s="2">
        <v>8</v>
      </c>
      <c r="J698" s="2">
        <v>1</v>
      </c>
      <c r="K698" s="2">
        <v>4</v>
      </c>
      <c r="L698" s="2" t="b">
        <f t="shared" si="39"/>
        <v>1</v>
      </c>
    </row>
    <row r="699" spans="2:12">
      <c r="B699" s="2">
        <v>10</v>
      </c>
      <c r="C699" s="2">
        <v>8</v>
      </c>
      <c r="D699" s="2">
        <v>8</v>
      </c>
      <c r="E699" s="2">
        <v>2</v>
      </c>
      <c r="F699" s="2">
        <v>3</v>
      </c>
      <c r="G699" s="2">
        <v>4</v>
      </c>
      <c r="H699" s="2">
        <v>8</v>
      </c>
      <c r="I699" s="2">
        <v>7</v>
      </c>
      <c r="J699" s="2">
        <v>8</v>
      </c>
      <c r="K699" s="2">
        <v>4</v>
      </c>
      <c r="L699" s="2" t="b">
        <f t="shared" si="39"/>
        <v>1</v>
      </c>
    </row>
    <row r="700" spans="2:12">
      <c r="B700" s="2">
        <v>8</v>
      </c>
      <c r="C700" s="2">
        <v>8</v>
      </c>
      <c r="D700" s="2">
        <v>8</v>
      </c>
      <c r="E700" s="2">
        <v>1</v>
      </c>
      <c r="F700" s="2">
        <v>2</v>
      </c>
      <c r="G700" s="2" t="s">
        <v>8</v>
      </c>
      <c r="H700" s="2">
        <v>6</v>
      </c>
      <c r="I700" s="2">
        <v>10</v>
      </c>
      <c r="J700" s="2">
        <v>1</v>
      </c>
      <c r="K700" s="2">
        <v>4</v>
      </c>
      <c r="L700" s="2" t="b">
        <f t="shared" si="39"/>
        <v>1</v>
      </c>
    </row>
    <row r="701" spans="2:12">
      <c r="B701" s="2">
        <v>10</v>
      </c>
      <c r="C701" s="2">
        <v>8</v>
      </c>
      <c r="D701" s="2">
        <v>4</v>
      </c>
      <c r="E701" s="2">
        <v>4</v>
      </c>
      <c r="F701" s="2">
        <v>4</v>
      </c>
      <c r="G701" s="2">
        <v>10</v>
      </c>
      <c r="H701" s="2">
        <v>3</v>
      </c>
      <c r="I701" s="2">
        <v>10</v>
      </c>
      <c r="J701" s="2">
        <v>4</v>
      </c>
      <c r="K701" s="2">
        <v>4</v>
      </c>
      <c r="L701" s="2" t="b">
        <f t="shared" si="39"/>
        <v>1</v>
      </c>
    </row>
    <row r="702" spans="2:12">
      <c r="B702" s="2">
        <v>7</v>
      </c>
      <c r="C702" s="2">
        <v>8</v>
      </c>
      <c r="D702" s="2">
        <v>7</v>
      </c>
      <c r="E702" s="2">
        <v>6</v>
      </c>
      <c r="F702" s="2">
        <v>4</v>
      </c>
      <c r="G702" s="2">
        <v>3</v>
      </c>
      <c r="H702" s="2">
        <v>8</v>
      </c>
      <c r="I702" s="2">
        <v>8</v>
      </c>
      <c r="J702" s="2">
        <v>4</v>
      </c>
      <c r="K702" s="2">
        <v>4</v>
      </c>
      <c r="L702" s="2" t="b">
        <f t="shared" si="39"/>
        <v>1</v>
      </c>
    </row>
    <row r="703" spans="2:12">
      <c r="B703" s="2">
        <v>6</v>
      </c>
      <c r="C703" s="2">
        <v>8</v>
      </c>
      <c r="D703" s="2">
        <v>7</v>
      </c>
      <c r="E703" s="2">
        <v>8</v>
      </c>
      <c r="F703" s="2">
        <v>6</v>
      </c>
      <c r="G703" s="2">
        <v>8</v>
      </c>
      <c r="H703" s="2">
        <v>8</v>
      </c>
      <c r="I703" s="2">
        <v>9</v>
      </c>
      <c r="J703" s="2">
        <v>1</v>
      </c>
      <c r="K703" s="2">
        <v>4</v>
      </c>
      <c r="L703" s="2" t="b">
        <f t="shared" si="39"/>
        <v>1</v>
      </c>
    </row>
    <row r="704" spans="2:12">
      <c r="B704" s="2">
        <v>5</v>
      </c>
      <c r="C704" s="2">
        <v>8</v>
      </c>
      <c r="D704" s="2">
        <v>8</v>
      </c>
      <c r="E704" s="2">
        <v>10</v>
      </c>
      <c r="F704" s="2">
        <v>5</v>
      </c>
      <c r="G704" s="2">
        <v>10</v>
      </c>
      <c r="H704" s="2">
        <v>8</v>
      </c>
      <c r="I704" s="2">
        <v>10</v>
      </c>
      <c r="J704" s="2">
        <v>3</v>
      </c>
      <c r="K704" s="2">
        <v>4</v>
      </c>
      <c r="L704" s="2" t="b">
        <f t="shared" si="39"/>
        <v>1</v>
      </c>
    </row>
    <row r="705" spans="2:12">
      <c r="B705" s="2">
        <v>10</v>
      </c>
      <c r="C705" s="2">
        <v>8</v>
      </c>
      <c r="D705" s="2">
        <v>7</v>
      </c>
      <c r="E705" s="2">
        <v>4</v>
      </c>
      <c r="F705" s="2">
        <v>3</v>
      </c>
      <c r="G705" s="2">
        <v>10</v>
      </c>
      <c r="H705" s="2">
        <v>7</v>
      </c>
      <c r="I705" s="2">
        <v>9</v>
      </c>
      <c r="J705" s="2">
        <v>1</v>
      </c>
      <c r="K705" s="2">
        <v>4</v>
      </c>
      <c r="L705" s="2" t="b">
        <f t="shared" si="39"/>
        <v>1</v>
      </c>
    </row>
    <row r="706" spans="2:12">
      <c r="B706" s="2">
        <v>10</v>
      </c>
      <c r="C706" s="2">
        <v>8</v>
      </c>
      <c r="D706" s="2">
        <v>10</v>
      </c>
      <c r="E706" s="2">
        <v>1</v>
      </c>
      <c r="F706" s="2">
        <v>3</v>
      </c>
      <c r="G706" s="2">
        <v>10</v>
      </c>
      <c r="H706" s="2">
        <v>5</v>
      </c>
      <c r="I706" s="2">
        <v>1</v>
      </c>
      <c r="J706" s="2">
        <v>1</v>
      </c>
      <c r="K706" s="2">
        <v>4</v>
      </c>
      <c r="L706" s="2" t="b">
        <f t="shared" si="39"/>
        <v>1</v>
      </c>
    </row>
    <row r="707" spans="2:12">
      <c r="B707" s="2">
        <v>8</v>
      </c>
      <c r="C707" s="2">
        <v>8</v>
      </c>
      <c r="D707" s="2">
        <v>9</v>
      </c>
      <c r="E707" s="2">
        <v>6</v>
      </c>
      <c r="F707" s="2">
        <v>6</v>
      </c>
      <c r="G707" s="2">
        <v>3</v>
      </c>
      <c r="H707" s="2">
        <v>10</v>
      </c>
      <c r="I707" s="2">
        <v>10</v>
      </c>
      <c r="J707" s="2">
        <v>1</v>
      </c>
      <c r="K707" s="2">
        <v>4</v>
      </c>
      <c r="L707" s="2" t="b">
        <f t="shared" si="39"/>
        <v>1</v>
      </c>
    </row>
    <row r="708" spans="2:12">
      <c r="B708" s="2">
        <v>4</v>
      </c>
      <c r="C708" s="2">
        <v>8</v>
      </c>
      <c r="D708" s="2">
        <v>7</v>
      </c>
      <c r="E708" s="2">
        <v>10</v>
      </c>
      <c r="F708" s="2">
        <v>4</v>
      </c>
      <c r="G708" s="2">
        <v>10</v>
      </c>
      <c r="H708" s="2">
        <v>7</v>
      </c>
      <c r="I708" s="2">
        <v>5</v>
      </c>
      <c r="J708" s="2">
        <v>1</v>
      </c>
      <c r="K708" s="2">
        <v>4</v>
      </c>
      <c r="L708" s="2" t="b">
        <f t="shared" si="39"/>
        <v>1</v>
      </c>
    </row>
    <row r="709" spans="2:12">
      <c r="B709" s="2">
        <v>5</v>
      </c>
      <c r="C709" s="2">
        <v>8</v>
      </c>
      <c r="D709" s="2">
        <v>9</v>
      </c>
      <c r="E709" s="2">
        <v>4</v>
      </c>
      <c r="F709" s="2">
        <v>3</v>
      </c>
      <c r="G709" s="2">
        <v>10</v>
      </c>
      <c r="H709" s="2">
        <v>7</v>
      </c>
      <c r="I709" s="2">
        <v>1</v>
      </c>
      <c r="J709" s="2">
        <v>1</v>
      </c>
      <c r="K709" s="2">
        <v>4</v>
      </c>
      <c r="L709" s="2" t="b">
        <f t="shared" si="39"/>
        <v>1</v>
      </c>
    </row>
    <row r="710" spans="2:12">
      <c r="B710" s="2">
        <v>7</v>
      </c>
      <c r="C710" s="2">
        <v>8</v>
      </c>
      <c r="D710" s="2">
        <v>3</v>
      </c>
      <c r="E710" s="2">
        <v>7</v>
      </c>
      <c r="F710" s="2">
        <v>4</v>
      </c>
      <c r="G710" s="2">
        <v>5</v>
      </c>
      <c r="H710" s="2">
        <v>7</v>
      </c>
      <c r="I710" s="2">
        <v>8</v>
      </c>
      <c r="J710" s="2">
        <v>2</v>
      </c>
      <c r="K710" s="2">
        <v>4</v>
      </c>
      <c r="L710" s="2" t="b">
        <f t="shared" si="39"/>
        <v>1</v>
      </c>
    </row>
    <row r="711" spans="2:12">
      <c r="B711" s="2">
        <v>9</v>
      </c>
      <c r="C711" s="2">
        <v>8</v>
      </c>
      <c r="D711" s="2">
        <v>8</v>
      </c>
      <c r="E711" s="2">
        <v>9</v>
      </c>
      <c r="F711" s="2">
        <v>6</v>
      </c>
      <c r="G711" s="2">
        <v>3</v>
      </c>
      <c r="H711" s="2">
        <v>4</v>
      </c>
      <c r="I711" s="2">
        <v>1</v>
      </c>
      <c r="J711" s="2">
        <v>1</v>
      </c>
      <c r="K711" s="2">
        <v>4</v>
      </c>
      <c r="L711" s="2" t="b">
        <f t="shared" si="39"/>
        <v>1</v>
      </c>
    </row>
    <row r="712" spans="2:12">
      <c r="B712" s="2">
        <v>4</v>
      </c>
      <c r="C712" s="2">
        <v>8</v>
      </c>
      <c r="D712" s="2">
        <v>6</v>
      </c>
      <c r="E712" s="2">
        <v>3</v>
      </c>
      <c r="F712" s="2">
        <v>4</v>
      </c>
      <c r="G712" s="2">
        <v>10</v>
      </c>
      <c r="H712" s="2">
        <v>7</v>
      </c>
      <c r="I712" s="2">
        <v>1</v>
      </c>
      <c r="J712" s="2">
        <v>1</v>
      </c>
      <c r="K712" s="2">
        <v>4</v>
      </c>
      <c r="L712" s="2" t="b">
        <f t="shared" si="39"/>
        <v>1</v>
      </c>
    </row>
    <row r="713" spans="2:12">
      <c r="B713" s="2">
        <v>7</v>
      </c>
      <c r="C713" s="2">
        <v>8</v>
      </c>
      <c r="D713" s="2">
        <v>8</v>
      </c>
      <c r="E713" s="2">
        <v>7</v>
      </c>
      <c r="F713" s="2">
        <v>3</v>
      </c>
      <c r="G713" s="2">
        <v>10</v>
      </c>
      <c r="H713" s="2">
        <v>7</v>
      </c>
      <c r="I713" s="2">
        <v>2</v>
      </c>
      <c r="J713" s="2">
        <v>3</v>
      </c>
      <c r="K713" s="2">
        <v>4</v>
      </c>
      <c r="L713" s="2" t="b">
        <f t="shared" si="39"/>
        <v>1</v>
      </c>
    </row>
    <row r="714" spans="2:12">
      <c r="B714" s="2">
        <v>4</v>
      </c>
      <c r="C714" s="2">
        <v>8</v>
      </c>
      <c r="D714" s="2">
        <v>6</v>
      </c>
      <c r="E714" s="2">
        <v>4</v>
      </c>
      <c r="F714" s="2">
        <v>3</v>
      </c>
      <c r="G714" s="2">
        <v>4</v>
      </c>
      <c r="H714" s="2">
        <v>10</v>
      </c>
      <c r="I714" s="2">
        <v>6</v>
      </c>
      <c r="J714" s="2">
        <v>1</v>
      </c>
      <c r="K714" s="2">
        <v>4</v>
      </c>
      <c r="L714" s="2" t="b">
        <f t="shared" si="39"/>
        <v>1</v>
      </c>
    </row>
    <row r="715" spans="2:12">
      <c r="B715" s="2">
        <v>4</v>
      </c>
      <c r="C715" s="2">
        <v>8</v>
      </c>
      <c r="D715" s="2">
        <v>8</v>
      </c>
      <c r="E715" s="2">
        <v>5</v>
      </c>
      <c r="F715" s="2">
        <v>4</v>
      </c>
      <c r="G715" s="2">
        <v>5</v>
      </c>
      <c r="H715" s="2">
        <v>10</v>
      </c>
      <c r="I715" s="2">
        <v>4</v>
      </c>
      <c r="J715" s="2">
        <v>1</v>
      </c>
      <c r="K715" s="2">
        <v>4</v>
      </c>
      <c r="L715" s="2" t="b">
        <f t="shared" si="39"/>
        <v>1</v>
      </c>
    </row>
    <row r="716" spans="2:12">
      <c r="B716" s="2">
        <v>9</v>
      </c>
      <c r="C716" s="2">
        <v>9</v>
      </c>
      <c r="D716" s="2">
        <v>10</v>
      </c>
      <c r="E716" s="2">
        <v>3</v>
      </c>
      <c r="F716" s="2">
        <v>6</v>
      </c>
      <c r="G716" s="2">
        <v>10</v>
      </c>
      <c r="H716" s="2">
        <v>7</v>
      </c>
      <c r="I716" s="2">
        <v>10</v>
      </c>
      <c r="J716" s="2">
        <v>6</v>
      </c>
      <c r="K716" s="2">
        <v>4</v>
      </c>
      <c r="L716" s="2" t="b">
        <f t="shared" si="39"/>
        <v>1</v>
      </c>
    </row>
    <row r="717" spans="2:12">
      <c r="B717" s="2">
        <v>8</v>
      </c>
      <c r="C717" s="2">
        <v>9</v>
      </c>
      <c r="D717" s="2">
        <v>9</v>
      </c>
      <c r="E717" s="2">
        <v>5</v>
      </c>
      <c r="F717" s="2">
        <v>3</v>
      </c>
      <c r="G717" s="2">
        <v>5</v>
      </c>
      <c r="H717" s="2">
        <v>7</v>
      </c>
      <c r="I717" s="2">
        <v>7</v>
      </c>
      <c r="J717" s="2">
        <v>1</v>
      </c>
      <c r="K717" s="2">
        <v>4</v>
      </c>
      <c r="L717" s="2" t="b">
        <f t="shared" si="39"/>
        <v>1</v>
      </c>
    </row>
    <row r="718" spans="2:12">
      <c r="B718" s="2">
        <v>7</v>
      </c>
      <c r="C718" s="2">
        <v>9</v>
      </c>
      <c r="D718" s="2">
        <v>4</v>
      </c>
      <c r="E718" s="2">
        <v>10</v>
      </c>
      <c r="F718" s="2">
        <v>10</v>
      </c>
      <c r="G718" s="2">
        <v>3</v>
      </c>
      <c r="H718" s="2">
        <v>5</v>
      </c>
      <c r="I718" s="2">
        <v>3</v>
      </c>
      <c r="J718" s="2">
        <v>3</v>
      </c>
      <c r="K718" s="2">
        <v>4</v>
      </c>
      <c r="L718" s="2" t="b">
        <f t="shared" si="39"/>
        <v>1</v>
      </c>
    </row>
    <row r="719" spans="2:12">
      <c r="B719" s="2">
        <v>6</v>
      </c>
      <c r="C719" s="2">
        <v>9</v>
      </c>
      <c r="D719" s="2">
        <v>7</v>
      </c>
      <c r="E719" s="2">
        <v>5</v>
      </c>
      <c r="F719" s="2">
        <v>5</v>
      </c>
      <c r="G719" s="2">
        <v>8</v>
      </c>
      <c r="H719" s="2">
        <v>4</v>
      </c>
      <c r="I719" s="2">
        <v>2</v>
      </c>
      <c r="J719" s="2">
        <v>1</v>
      </c>
      <c r="K719" s="2">
        <v>2</v>
      </c>
      <c r="L719" s="2" t="b">
        <f t="shared" si="39"/>
        <v>0</v>
      </c>
    </row>
    <row r="720" spans="2:12">
      <c r="B720" s="2">
        <v>10</v>
      </c>
      <c r="C720" s="2">
        <v>9</v>
      </c>
      <c r="D720" s="2">
        <v>8</v>
      </c>
      <c r="E720" s="2">
        <v>7</v>
      </c>
      <c r="F720" s="2">
        <v>6</v>
      </c>
      <c r="G720" s="2">
        <v>4</v>
      </c>
      <c r="H720" s="2">
        <v>7</v>
      </c>
      <c r="I720" s="2">
        <v>10</v>
      </c>
      <c r="J720" s="2">
        <v>3</v>
      </c>
      <c r="K720" s="2">
        <v>4</v>
      </c>
      <c r="L720" s="2" t="b">
        <f t="shared" si="39"/>
        <v>1</v>
      </c>
    </row>
    <row r="721" spans="2:12">
      <c r="B721" s="2">
        <v>10</v>
      </c>
      <c r="C721" s="2">
        <v>9</v>
      </c>
      <c r="D721" s="2">
        <v>7</v>
      </c>
      <c r="E721" s="2">
        <v>3</v>
      </c>
      <c r="F721" s="2">
        <v>4</v>
      </c>
      <c r="G721" s="2">
        <v>2</v>
      </c>
      <c r="H721" s="2">
        <v>7</v>
      </c>
      <c r="I721" s="2">
        <v>7</v>
      </c>
      <c r="J721" s="2">
        <v>1</v>
      </c>
      <c r="K721" s="2">
        <v>4</v>
      </c>
      <c r="L721" s="2" t="b">
        <f t="shared" si="39"/>
        <v>1</v>
      </c>
    </row>
    <row r="722" spans="2:12">
      <c r="B722" s="2">
        <v>8</v>
      </c>
      <c r="C722" s="2">
        <v>10</v>
      </c>
      <c r="D722" s="2">
        <v>10</v>
      </c>
      <c r="E722" s="2">
        <v>8</v>
      </c>
      <c r="F722" s="2">
        <v>7</v>
      </c>
      <c r="G722" s="2">
        <v>10</v>
      </c>
      <c r="H722" s="2">
        <v>9</v>
      </c>
      <c r="I722" s="2">
        <v>7</v>
      </c>
      <c r="J722" s="2">
        <v>1</v>
      </c>
      <c r="K722" s="2">
        <v>4</v>
      </c>
      <c r="L722" s="2" t="b">
        <f t="shared" si="39"/>
        <v>1</v>
      </c>
    </row>
    <row r="723" spans="2:12">
      <c r="B723" s="2">
        <v>10</v>
      </c>
      <c r="C723" s="2">
        <v>10</v>
      </c>
      <c r="D723" s="2">
        <v>10</v>
      </c>
      <c r="E723" s="2">
        <v>8</v>
      </c>
      <c r="F723" s="2">
        <v>6</v>
      </c>
      <c r="G723" s="2">
        <v>1</v>
      </c>
      <c r="H723" s="2">
        <v>8</v>
      </c>
      <c r="I723" s="2">
        <v>9</v>
      </c>
      <c r="J723" s="2">
        <v>1</v>
      </c>
      <c r="K723" s="2">
        <v>4</v>
      </c>
      <c r="L723" s="2" t="b">
        <f t="shared" si="39"/>
        <v>1</v>
      </c>
    </row>
    <row r="724" spans="2:12">
      <c r="B724" s="2">
        <v>6</v>
      </c>
      <c r="C724" s="2">
        <v>10</v>
      </c>
      <c r="D724" s="2">
        <v>10</v>
      </c>
      <c r="E724" s="2">
        <v>2</v>
      </c>
      <c r="F724" s="2">
        <v>8</v>
      </c>
      <c r="G724" s="2">
        <v>10</v>
      </c>
      <c r="H724" s="2">
        <v>7</v>
      </c>
      <c r="I724" s="2">
        <v>3</v>
      </c>
      <c r="J724" s="2">
        <v>3</v>
      </c>
      <c r="K724" s="2">
        <v>4</v>
      </c>
      <c r="L724" s="2" t="b">
        <f t="shared" si="39"/>
        <v>1</v>
      </c>
    </row>
    <row r="725" spans="2:12">
      <c r="B725" s="2">
        <v>10</v>
      </c>
      <c r="C725" s="2">
        <v>10</v>
      </c>
      <c r="D725" s="2">
        <v>10</v>
      </c>
      <c r="E725" s="2">
        <v>4</v>
      </c>
      <c r="F725" s="2">
        <v>8</v>
      </c>
      <c r="G725" s="2">
        <v>1</v>
      </c>
      <c r="H725" s="2">
        <v>8</v>
      </c>
      <c r="I725" s="2">
        <v>10</v>
      </c>
      <c r="J725" s="2">
        <v>1</v>
      </c>
      <c r="K725" s="2">
        <v>4</v>
      </c>
      <c r="L725" s="2" t="b">
        <f t="shared" si="39"/>
        <v>1</v>
      </c>
    </row>
    <row r="726" spans="2:12">
      <c r="B726" s="2">
        <v>8</v>
      </c>
      <c r="C726" s="2">
        <v>10</v>
      </c>
      <c r="D726" s="2">
        <v>10</v>
      </c>
      <c r="E726" s="2">
        <v>1</v>
      </c>
      <c r="F726" s="2">
        <v>3</v>
      </c>
      <c r="G726" s="2">
        <v>6</v>
      </c>
      <c r="H726" s="2">
        <v>3</v>
      </c>
      <c r="I726" s="2">
        <v>9</v>
      </c>
      <c r="J726" s="2">
        <v>1</v>
      </c>
      <c r="K726" s="2">
        <v>4</v>
      </c>
      <c r="L726" s="2" t="b">
        <f t="shared" si="39"/>
        <v>1</v>
      </c>
    </row>
    <row r="727" spans="2:12">
      <c r="B727" s="2">
        <v>9</v>
      </c>
      <c r="C727" s="2">
        <v>10</v>
      </c>
      <c r="D727" s="2">
        <v>10</v>
      </c>
      <c r="E727" s="2">
        <v>1</v>
      </c>
      <c r="F727" s="2">
        <v>10</v>
      </c>
      <c r="G727" s="2">
        <v>8</v>
      </c>
      <c r="H727" s="2">
        <v>3</v>
      </c>
      <c r="I727" s="2">
        <v>3</v>
      </c>
      <c r="J727" s="2">
        <v>1</v>
      </c>
      <c r="K727" s="2">
        <v>4</v>
      </c>
      <c r="L727" s="2" t="b">
        <f t="shared" si="39"/>
        <v>1</v>
      </c>
    </row>
    <row r="728" spans="2:12">
      <c r="B728" s="2">
        <v>6</v>
      </c>
      <c r="C728" s="2">
        <v>10</v>
      </c>
      <c r="D728" s="2">
        <v>2</v>
      </c>
      <c r="E728" s="2">
        <v>8</v>
      </c>
      <c r="F728" s="2">
        <v>10</v>
      </c>
      <c r="G728" s="2">
        <v>2</v>
      </c>
      <c r="H728" s="2">
        <v>7</v>
      </c>
      <c r="I728" s="2">
        <v>8</v>
      </c>
      <c r="J728" s="2">
        <v>10</v>
      </c>
      <c r="K728" s="2">
        <v>4</v>
      </c>
      <c r="L728" s="2" t="b">
        <f t="shared" si="39"/>
        <v>1</v>
      </c>
    </row>
    <row r="729" spans="2:12">
      <c r="B729" s="2">
        <v>5</v>
      </c>
      <c r="C729" s="2">
        <v>10</v>
      </c>
      <c r="D729" s="2">
        <v>6</v>
      </c>
      <c r="E729" s="2">
        <v>1</v>
      </c>
      <c r="F729" s="2">
        <v>10</v>
      </c>
      <c r="G729" s="2">
        <v>4</v>
      </c>
      <c r="H729" s="2">
        <v>4</v>
      </c>
      <c r="I729" s="2">
        <v>10</v>
      </c>
      <c r="J729" s="2">
        <v>10</v>
      </c>
      <c r="K729" s="2">
        <v>4</v>
      </c>
      <c r="L729" s="2" t="b">
        <f t="shared" si="39"/>
        <v>1</v>
      </c>
    </row>
    <row r="730" spans="2:12">
      <c r="B730" s="2">
        <v>10</v>
      </c>
      <c r="C730" s="2">
        <v>10</v>
      </c>
      <c r="D730" s="2">
        <v>10</v>
      </c>
      <c r="E730" s="2">
        <v>10</v>
      </c>
      <c r="F730" s="2">
        <v>10</v>
      </c>
      <c r="G730" s="2">
        <v>1</v>
      </c>
      <c r="H730" s="2">
        <v>8</v>
      </c>
      <c r="I730" s="2">
        <v>8</v>
      </c>
      <c r="J730" s="2">
        <v>8</v>
      </c>
      <c r="K730" s="2">
        <v>4</v>
      </c>
      <c r="L730" s="2" t="b">
        <f t="shared" ref="L730:L788" si="40">IF(K730=4, TRUE, FALSE)</f>
        <v>1</v>
      </c>
    </row>
    <row r="731" spans="2:12">
      <c r="B731" s="2">
        <v>10</v>
      </c>
      <c r="C731" s="2">
        <v>10</v>
      </c>
      <c r="D731" s="2">
        <v>10</v>
      </c>
      <c r="E731" s="2">
        <v>8</v>
      </c>
      <c r="F731" s="2">
        <v>2</v>
      </c>
      <c r="G731" s="2">
        <v>10</v>
      </c>
      <c r="H731" s="2">
        <v>4</v>
      </c>
      <c r="I731" s="2">
        <v>1</v>
      </c>
      <c r="J731" s="2">
        <v>1</v>
      </c>
      <c r="K731" s="2">
        <v>4</v>
      </c>
      <c r="L731" s="2" t="b">
        <f t="shared" si="40"/>
        <v>1</v>
      </c>
    </row>
    <row r="732" spans="2:12">
      <c r="B732" s="2">
        <v>10</v>
      </c>
      <c r="C732" s="2">
        <v>10</v>
      </c>
      <c r="D732" s="2">
        <v>10</v>
      </c>
      <c r="E732" s="2">
        <v>3</v>
      </c>
      <c r="F732" s="2">
        <v>10</v>
      </c>
      <c r="G732" s="2">
        <v>8</v>
      </c>
      <c r="H732" s="2">
        <v>8</v>
      </c>
      <c r="I732" s="2">
        <v>1</v>
      </c>
      <c r="J732" s="2">
        <v>1</v>
      </c>
      <c r="K732" s="2">
        <v>4</v>
      </c>
      <c r="L732" s="2" t="b">
        <f t="shared" si="40"/>
        <v>1</v>
      </c>
    </row>
    <row r="733" spans="2:12">
      <c r="B733" s="2">
        <v>10</v>
      </c>
      <c r="C733" s="2">
        <v>10</v>
      </c>
      <c r="D733" s="2">
        <v>10</v>
      </c>
      <c r="E733" s="2">
        <v>2</v>
      </c>
      <c r="F733" s="2">
        <v>10</v>
      </c>
      <c r="G733" s="2">
        <v>10</v>
      </c>
      <c r="H733" s="2">
        <v>5</v>
      </c>
      <c r="I733" s="2">
        <v>3</v>
      </c>
      <c r="J733" s="2">
        <v>3</v>
      </c>
      <c r="K733" s="2">
        <v>4</v>
      </c>
      <c r="L733" s="2" t="b">
        <f t="shared" si="40"/>
        <v>1</v>
      </c>
    </row>
    <row r="734" spans="2:12">
      <c r="B734" s="2">
        <v>5</v>
      </c>
      <c r="C734" s="2">
        <v>10</v>
      </c>
      <c r="D734" s="2">
        <v>8</v>
      </c>
      <c r="E734" s="2">
        <v>10</v>
      </c>
      <c r="F734" s="2">
        <v>8</v>
      </c>
      <c r="G734" s="2">
        <v>10</v>
      </c>
      <c r="H734" s="2">
        <v>3</v>
      </c>
      <c r="I734" s="2">
        <v>6</v>
      </c>
      <c r="J734" s="2">
        <v>3</v>
      </c>
      <c r="K734" s="2">
        <v>4</v>
      </c>
      <c r="L734" s="2" t="b">
        <f t="shared" si="40"/>
        <v>1</v>
      </c>
    </row>
    <row r="735" spans="2:12">
      <c r="B735" s="2">
        <v>10</v>
      </c>
      <c r="C735" s="2">
        <v>10</v>
      </c>
      <c r="D735" s="2">
        <v>8</v>
      </c>
      <c r="E735" s="2">
        <v>6</v>
      </c>
      <c r="F735" s="2">
        <v>4</v>
      </c>
      <c r="G735" s="2">
        <v>5</v>
      </c>
      <c r="H735" s="2">
        <v>8</v>
      </c>
      <c r="I735" s="2">
        <v>10</v>
      </c>
      <c r="J735" s="2">
        <v>1</v>
      </c>
      <c r="K735" s="2">
        <v>4</v>
      </c>
      <c r="L735" s="2" t="b">
        <f t="shared" si="40"/>
        <v>1</v>
      </c>
    </row>
    <row r="736" spans="2:12">
      <c r="B736" s="2">
        <v>6</v>
      </c>
      <c r="C736" s="2">
        <v>10</v>
      </c>
      <c r="D736" s="2">
        <v>10</v>
      </c>
      <c r="E736" s="2">
        <v>10</v>
      </c>
      <c r="F736" s="2">
        <v>8</v>
      </c>
      <c r="G736" s="2">
        <v>10</v>
      </c>
      <c r="H736" s="2">
        <v>10</v>
      </c>
      <c r="I736" s="2">
        <v>10</v>
      </c>
      <c r="J736" s="2">
        <v>7</v>
      </c>
      <c r="K736" s="2">
        <v>4</v>
      </c>
      <c r="L736" s="2" t="b">
        <f t="shared" si="40"/>
        <v>1</v>
      </c>
    </row>
    <row r="737" spans="2:12">
      <c r="B737" s="2">
        <v>5</v>
      </c>
      <c r="C737" s="2">
        <v>10</v>
      </c>
      <c r="D737" s="2">
        <v>10</v>
      </c>
      <c r="E737" s="2">
        <v>3</v>
      </c>
      <c r="F737" s="2">
        <v>8</v>
      </c>
      <c r="G737" s="2">
        <v>1</v>
      </c>
      <c r="H737" s="2">
        <v>5</v>
      </c>
      <c r="I737" s="2">
        <v>10</v>
      </c>
      <c r="J737" s="2">
        <v>3</v>
      </c>
      <c r="K737" s="2">
        <v>4</v>
      </c>
      <c r="L737" s="2" t="b">
        <f t="shared" si="40"/>
        <v>1</v>
      </c>
    </row>
    <row r="738" spans="2:12">
      <c r="B738" s="2">
        <v>10</v>
      </c>
      <c r="C738" s="2">
        <v>10</v>
      </c>
      <c r="D738" s="2">
        <v>10</v>
      </c>
      <c r="E738" s="2">
        <v>8</v>
      </c>
      <c r="F738" s="2">
        <v>6</v>
      </c>
      <c r="G738" s="2">
        <v>8</v>
      </c>
      <c r="H738" s="2">
        <v>7</v>
      </c>
      <c r="I738" s="2">
        <v>10</v>
      </c>
      <c r="J738" s="2">
        <v>1</v>
      </c>
      <c r="K738" s="2">
        <v>4</v>
      </c>
      <c r="L738" s="2" t="b">
        <f t="shared" si="40"/>
        <v>1</v>
      </c>
    </row>
    <row r="739" spans="2:12">
      <c r="B739" s="2">
        <v>5</v>
      </c>
      <c r="C739" s="2">
        <v>10</v>
      </c>
      <c r="D739" s="2">
        <v>10</v>
      </c>
      <c r="E739" s="2">
        <v>9</v>
      </c>
      <c r="F739" s="2">
        <v>6</v>
      </c>
      <c r="G739" s="2">
        <v>10</v>
      </c>
      <c r="H739" s="2">
        <v>7</v>
      </c>
      <c r="I739" s="2">
        <v>10</v>
      </c>
      <c r="J739" s="2">
        <v>5</v>
      </c>
      <c r="K739" s="2">
        <v>4</v>
      </c>
      <c r="L739" s="2" t="b">
        <f t="shared" si="40"/>
        <v>1</v>
      </c>
    </row>
    <row r="740" spans="2:12">
      <c r="B740" s="2">
        <v>10</v>
      </c>
      <c r="C740" s="2">
        <v>10</v>
      </c>
      <c r="D740" s="2">
        <v>9</v>
      </c>
      <c r="E740" s="2">
        <v>3</v>
      </c>
      <c r="F740" s="2">
        <v>7</v>
      </c>
      <c r="G740" s="2">
        <v>5</v>
      </c>
      <c r="H740" s="2">
        <v>3</v>
      </c>
      <c r="I740" s="2">
        <v>5</v>
      </c>
      <c r="J740" s="2">
        <v>1</v>
      </c>
      <c r="K740" s="2">
        <v>4</v>
      </c>
      <c r="L740" s="2" t="b">
        <f t="shared" si="40"/>
        <v>1</v>
      </c>
    </row>
    <row r="741" spans="2:12">
      <c r="B741" s="2">
        <v>8</v>
      </c>
      <c r="C741" s="2">
        <v>10</v>
      </c>
      <c r="D741" s="2">
        <v>10</v>
      </c>
      <c r="E741" s="2">
        <v>10</v>
      </c>
      <c r="F741" s="2">
        <v>5</v>
      </c>
      <c r="G741" s="2">
        <v>10</v>
      </c>
      <c r="H741" s="2">
        <v>8</v>
      </c>
      <c r="I741" s="2">
        <v>10</v>
      </c>
      <c r="J741" s="2">
        <v>6</v>
      </c>
      <c r="K741" s="2">
        <v>4</v>
      </c>
      <c r="L741" s="2" t="b">
        <f t="shared" si="40"/>
        <v>1</v>
      </c>
    </row>
    <row r="742" spans="2:12">
      <c r="B742" s="2">
        <v>8</v>
      </c>
      <c r="C742" s="2">
        <v>10</v>
      </c>
      <c r="D742" s="2">
        <v>8</v>
      </c>
      <c r="E742" s="2">
        <v>8</v>
      </c>
      <c r="F742" s="2">
        <v>4</v>
      </c>
      <c r="G742" s="2">
        <v>8</v>
      </c>
      <c r="H742" s="2">
        <v>7</v>
      </c>
      <c r="I742" s="2">
        <v>7</v>
      </c>
      <c r="J742" s="2">
        <v>1</v>
      </c>
      <c r="K742" s="2">
        <v>4</v>
      </c>
      <c r="L742" s="2" t="b">
        <f t="shared" si="40"/>
        <v>1</v>
      </c>
    </row>
    <row r="743" spans="2:12">
      <c r="B743" s="2">
        <v>10</v>
      </c>
      <c r="C743" s="2">
        <v>10</v>
      </c>
      <c r="D743" s="2">
        <v>10</v>
      </c>
      <c r="E743" s="2">
        <v>10</v>
      </c>
      <c r="F743" s="2">
        <v>7</v>
      </c>
      <c r="G743" s="2">
        <v>10</v>
      </c>
      <c r="H743" s="2">
        <v>7</v>
      </c>
      <c r="I743" s="2">
        <v>10</v>
      </c>
      <c r="J743" s="2">
        <v>4</v>
      </c>
      <c r="K743" s="2">
        <v>4</v>
      </c>
      <c r="L743" s="2" t="b">
        <f t="shared" si="40"/>
        <v>1</v>
      </c>
    </row>
    <row r="744" spans="2:12">
      <c r="B744" s="2">
        <v>10</v>
      </c>
      <c r="C744" s="2">
        <v>10</v>
      </c>
      <c r="D744" s="2">
        <v>10</v>
      </c>
      <c r="E744" s="2">
        <v>10</v>
      </c>
      <c r="F744" s="2">
        <v>3</v>
      </c>
      <c r="G744" s="2">
        <v>10</v>
      </c>
      <c r="H744" s="2">
        <v>10</v>
      </c>
      <c r="I744" s="2">
        <v>6</v>
      </c>
      <c r="J744" s="2">
        <v>1</v>
      </c>
      <c r="K744" s="2">
        <v>4</v>
      </c>
      <c r="L744" s="2" t="b">
        <f t="shared" si="40"/>
        <v>1</v>
      </c>
    </row>
    <row r="745" spans="2:12">
      <c r="B745" s="2">
        <v>6</v>
      </c>
      <c r="C745" s="2">
        <v>10</v>
      </c>
      <c r="D745" s="2">
        <v>7</v>
      </c>
      <c r="E745" s="2">
        <v>7</v>
      </c>
      <c r="F745" s="2">
        <v>6</v>
      </c>
      <c r="G745" s="2">
        <v>4</v>
      </c>
      <c r="H745" s="2">
        <v>8</v>
      </c>
      <c r="I745" s="2">
        <v>10</v>
      </c>
      <c r="J745" s="2">
        <v>2</v>
      </c>
      <c r="K745" s="2">
        <v>4</v>
      </c>
      <c r="L745" s="2" t="b">
        <f t="shared" si="40"/>
        <v>1</v>
      </c>
    </row>
    <row r="746" spans="2:12">
      <c r="B746" s="2">
        <v>10</v>
      </c>
      <c r="C746" s="2">
        <v>10</v>
      </c>
      <c r="D746" s="2">
        <v>10</v>
      </c>
      <c r="E746" s="2">
        <v>3</v>
      </c>
      <c r="F746" s="2">
        <v>10</v>
      </c>
      <c r="G746" s="2">
        <v>10</v>
      </c>
      <c r="H746" s="2">
        <v>9</v>
      </c>
      <c r="I746" s="2">
        <v>10</v>
      </c>
      <c r="J746" s="2">
        <v>1</v>
      </c>
      <c r="K746" s="2">
        <v>4</v>
      </c>
      <c r="L746" s="2" t="b">
        <f t="shared" si="40"/>
        <v>1</v>
      </c>
    </row>
    <row r="747" spans="2:12">
      <c r="B747" s="2">
        <v>8</v>
      </c>
      <c r="C747" s="2">
        <v>10</v>
      </c>
      <c r="D747" s="2">
        <v>10</v>
      </c>
      <c r="E747" s="2">
        <v>8</v>
      </c>
      <c r="F747" s="2">
        <v>6</v>
      </c>
      <c r="G747" s="2">
        <v>9</v>
      </c>
      <c r="H747" s="2">
        <v>3</v>
      </c>
      <c r="I747" s="2">
        <v>10</v>
      </c>
      <c r="J747" s="2">
        <v>10</v>
      </c>
      <c r="K747" s="2">
        <v>4</v>
      </c>
      <c r="L747" s="2" t="b">
        <f t="shared" si="40"/>
        <v>1</v>
      </c>
    </row>
    <row r="748" spans="2:12">
      <c r="B748" s="2">
        <v>8</v>
      </c>
      <c r="C748" s="2">
        <v>10</v>
      </c>
      <c r="D748" s="2">
        <v>10</v>
      </c>
      <c r="E748" s="2">
        <v>8</v>
      </c>
      <c r="F748" s="2">
        <v>5</v>
      </c>
      <c r="G748" s="2">
        <v>10</v>
      </c>
      <c r="H748" s="2">
        <v>7</v>
      </c>
      <c r="I748" s="2">
        <v>8</v>
      </c>
      <c r="J748" s="2">
        <v>1</v>
      </c>
      <c r="K748" s="2">
        <v>4</v>
      </c>
      <c r="L748" s="2" t="b">
        <f t="shared" si="40"/>
        <v>1</v>
      </c>
    </row>
    <row r="749" spans="2:12">
      <c r="B749" s="2">
        <v>6</v>
      </c>
      <c r="C749" s="2">
        <v>10</v>
      </c>
      <c r="D749" s="2">
        <v>10</v>
      </c>
      <c r="E749" s="2">
        <v>2</v>
      </c>
      <c r="F749" s="2">
        <v>8</v>
      </c>
      <c r="G749" s="2">
        <v>10</v>
      </c>
      <c r="H749" s="2">
        <v>7</v>
      </c>
      <c r="I749" s="2">
        <v>3</v>
      </c>
      <c r="J749" s="2">
        <v>3</v>
      </c>
      <c r="K749" s="2">
        <v>4</v>
      </c>
      <c r="L749" s="2" t="b">
        <f t="shared" si="40"/>
        <v>1</v>
      </c>
    </row>
    <row r="750" spans="2:12">
      <c r="B750" s="2">
        <v>9</v>
      </c>
      <c r="C750" s="2">
        <v>10</v>
      </c>
      <c r="D750" s="2">
        <v>10</v>
      </c>
      <c r="E750" s="2">
        <v>1</v>
      </c>
      <c r="F750" s="2">
        <v>10</v>
      </c>
      <c r="G750" s="2">
        <v>8</v>
      </c>
      <c r="H750" s="2">
        <v>3</v>
      </c>
      <c r="I750" s="2">
        <v>3</v>
      </c>
      <c r="J750" s="2">
        <v>1</v>
      </c>
      <c r="K750" s="2">
        <v>4</v>
      </c>
      <c r="L750" s="2" t="b">
        <f t="shared" si="40"/>
        <v>1</v>
      </c>
    </row>
    <row r="751" spans="2:12">
      <c r="B751" s="2">
        <v>5</v>
      </c>
      <c r="C751" s="2">
        <v>10</v>
      </c>
      <c r="D751" s="2">
        <v>10</v>
      </c>
      <c r="E751" s="2">
        <v>6</v>
      </c>
      <c r="F751" s="2">
        <v>10</v>
      </c>
      <c r="G751" s="2">
        <v>10</v>
      </c>
      <c r="H751" s="2">
        <v>10</v>
      </c>
      <c r="I751" s="2">
        <v>6</v>
      </c>
      <c r="J751" s="2">
        <v>5</v>
      </c>
      <c r="K751" s="2">
        <v>4</v>
      </c>
      <c r="L751" s="2" t="b">
        <f t="shared" si="40"/>
        <v>1</v>
      </c>
    </row>
    <row r="752" spans="2:12">
      <c r="B752" s="2">
        <v>10</v>
      </c>
      <c r="C752" s="2">
        <v>10</v>
      </c>
      <c r="D752" s="2">
        <v>6</v>
      </c>
      <c r="E752" s="2">
        <v>3</v>
      </c>
      <c r="F752" s="2">
        <v>3</v>
      </c>
      <c r="G752" s="2">
        <v>10</v>
      </c>
      <c r="H752" s="2">
        <v>4</v>
      </c>
      <c r="I752" s="2">
        <v>3</v>
      </c>
      <c r="J752" s="2">
        <v>2</v>
      </c>
      <c r="K752" s="2">
        <v>4</v>
      </c>
      <c r="L752" s="2" t="b">
        <f t="shared" si="40"/>
        <v>1</v>
      </c>
    </row>
    <row r="753" spans="2:12">
      <c r="B753" s="2">
        <v>8</v>
      </c>
      <c r="C753" s="2">
        <v>10</v>
      </c>
      <c r="D753" s="2">
        <v>10</v>
      </c>
      <c r="E753" s="2">
        <v>10</v>
      </c>
      <c r="F753" s="2">
        <v>8</v>
      </c>
      <c r="G753" s="2">
        <v>10</v>
      </c>
      <c r="H753" s="2">
        <v>10</v>
      </c>
      <c r="I753" s="2">
        <v>7</v>
      </c>
      <c r="J753" s="2">
        <v>3</v>
      </c>
      <c r="K753" s="2">
        <v>4</v>
      </c>
      <c r="L753" s="2" t="b">
        <f t="shared" si="40"/>
        <v>1</v>
      </c>
    </row>
    <row r="754" spans="2:12">
      <c r="B754" s="2">
        <v>10</v>
      </c>
      <c r="C754" s="2">
        <v>10</v>
      </c>
      <c r="D754" s="2">
        <v>10</v>
      </c>
      <c r="E754" s="2">
        <v>10</v>
      </c>
      <c r="F754" s="2">
        <v>10</v>
      </c>
      <c r="G754" s="2">
        <v>10</v>
      </c>
      <c r="H754" s="2">
        <v>4</v>
      </c>
      <c r="I754" s="2">
        <v>10</v>
      </c>
      <c r="J754" s="2">
        <v>10</v>
      </c>
      <c r="K754" s="2">
        <v>4</v>
      </c>
      <c r="L754" s="2" t="b">
        <f t="shared" si="40"/>
        <v>1</v>
      </c>
    </row>
    <row r="755" spans="2:12">
      <c r="B755" s="2">
        <v>10</v>
      </c>
      <c r="C755" s="2">
        <v>10</v>
      </c>
      <c r="D755" s="2">
        <v>10</v>
      </c>
      <c r="E755" s="2">
        <v>7</v>
      </c>
      <c r="F755" s="2">
        <v>9</v>
      </c>
      <c r="G755" s="2">
        <v>10</v>
      </c>
      <c r="H755" s="2">
        <v>7</v>
      </c>
      <c r="I755" s="2">
        <v>10</v>
      </c>
      <c r="J755" s="2">
        <v>10</v>
      </c>
      <c r="K755" s="2">
        <v>4</v>
      </c>
      <c r="L755" s="2" t="b">
        <f t="shared" si="40"/>
        <v>1</v>
      </c>
    </row>
    <row r="756" spans="2:12">
      <c r="B756" s="2">
        <v>8</v>
      </c>
      <c r="C756" s="2">
        <v>10</v>
      </c>
      <c r="D756" s="2">
        <v>3</v>
      </c>
      <c r="E756" s="2">
        <v>2</v>
      </c>
      <c r="F756" s="2">
        <v>6</v>
      </c>
      <c r="G756" s="2">
        <v>4</v>
      </c>
      <c r="H756" s="2">
        <v>3</v>
      </c>
      <c r="I756" s="2">
        <v>10</v>
      </c>
      <c r="J756" s="2">
        <v>1</v>
      </c>
      <c r="K756" s="2">
        <v>4</v>
      </c>
      <c r="L756" s="2" t="b">
        <f t="shared" si="40"/>
        <v>1</v>
      </c>
    </row>
    <row r="757" spans="2:12">
      <c r="B757" s="2">
        <v>8</v>
      </c>
      <c r="C757" s="2">
        <v>10</v>
      </c>
      <c r="D757" s="2">
        <v>10</v>
      </c>
      <c r="E757" s="2">
        <v>7</v>
      </c>
      <c r="F757" s="2">
        <v>10</v>
      </c>
      <c r="G757" s="2">
        <v>10</v>
      </c>
      <c r="H757" s="2">
        <v>7</v>
      </c>
      <c r="I757" s="2">
        <v>3</v>
      </c>
      <c r="J757" s="2">
        <v>8</v>
      </c>
      <c r="K757" s="2">
        <v>4</v>
      </c>
      <c r="L757" s="2" t="b">
        <f t="shared" si="40"/>
        <v>1</v>
      </c>
    </row>
    <row r="758" spans="2:12">
      <c r="B758" s="2">
        <v>8</v>
      </c>
      <c r="C758" s="2">
        <v>10</v>
      </c>
      <c r="D758" s="2">
        <v>5</v>
      </c>
      <c r="E758" s="2">
        <v>3</v>
      </c>
      <c r="F758" s="2">
        <v>8</v>
      </c>
      <c r="G758" s="2">
        <v>4</v>
      </c>
      <c r="H758" s="2">
        <v>4</v>
      </c>
      <c r="I758" s="2">
        <v>10</v>
      </c>
      <c r="J758" s="2">
        <v>3</v>
      </c>
      <c r="K758" s="2">
        <v>4</v>
      </c>
      <c r="L758" s="2" t="b">
        <f t="shared" si="40"/>
        <v>1</v>
      </c>
    </row>
    <row r="759" spans="2:12">
      <c r="B759" s="2">
        <v>6</v>
      </c>
      <c r="C759" s="2">
        <v>10</v>
      </c>
      <c r="D759" s="2">
        <v>10</v>
      </c>
      <c r="E759" s="2">
        <v>10</v>
      </c>
      <c r="F759" s="2">
        <v>10</v>
      </c>
      <c r="G759" s="2">
        <v>10</v>
      </c>
      <c r="H759" s="2">
        <v>8</v>
      </c>
      <c r="I759" s="2">
        <v>10</v>
      </c>
      <c r="J759" s="2">
        <v>10</v>
      </c>
      <c r="K759" s="2">
        <v>4</v>
      </c>
      <c r="L759" s="2" t="b">
        <f t="shared" si="40"/>
        <v>1</v>
      </c>
    </row>
    <row r="760" spans="2:12">
      <c r="B760" s="2">
        <v>3</v>
      </c>
      <c r="C760" s="2">
        <v>10</v>
      </c>
      <c r="D760" s="2">
        <v>3</v>
      </c>
      <c r="E760" s="2">
        <v>10</v>
      </c>
      <c r="F760" s="2">
        <v>6</v>
      </c>
      <c r="G760" s="2">
        <v>10</v>
      </c>
      <c r="H760" s="2">
        <v>5</v>
      </c>
      <c r="I760" s="2">
        <v>1</v>
      </c>
      <c r="J760" s="2">
        <v>4</v>
      </c>
      <c r="K760" s="2">
        <v>4</v>
      </c>
      <c r="L760" s="2" t="b">
        <f t="shared" si="40"/>
        <v>1</v>
      </c>
    </row>
    <row r="761" spans="2:12">
      <c r="B761" s="2">
        <v>6</v>
      </c>
      <c r="C761" s="2">
        <v>10</v>
      </c>
      <c r="D761" s="2">
        <v>10</v>
      </c>
      <c r="E761" s="2">
        <v>10</v>
      </c>
      <c r="F761" s="2">
        <v>8</v>
      </c>
      <c r="G761" s="2">
        <v>10</v>
      </c>
      <c r="H761" s="2">
        <v>7</v>
      </c>
      <c r="I761" s="2">
        <v>10</v>
      </c>
      <c r="J761" s="2">
        <v>7</v>
      </c>
      <c r="K761" s="2">
        <v>4</v>
      </c>
      <c r="L761" s="2" t="b">
        <f t="shared" si="40"/>
        <v>1</v>
      </c>
    </row>
    <row r="762" spans="2:12">
      <c r="B762" s="2">
        <v>3</v>
      </c>
      <c r="C762" s="2">
        <v>10</v>
      </c>
      <c r="D762" s="2">
        <v>8</v>
      </c>
      <c r="E762" s="2">
        <v>7</v>
      </c>
      <c r="F762" s="2">
        <v>6</v>
      </c>
      <c r="G762" s="2">
        <v>9</v>
      </c>
      <c r="H762" s="2">
        <v>9</v>
      </c>
      <c r="I762" s="2">
        <v>3</v>
      </c>
      <c r="J762" s="2">
        <v>8</v>
      </c>
      <c r="K762" s="2">
        <v>4</v>
      </c>
      <c r="L762" s="2" t="b">
        <f t="shared" si="40"/>
        <v>1</v>
      </c>
    </row>
    <row r="763" spans="2:12">
      <c r="B763" s="2">
        <v>10</v>
      </c>
      <c r="C763" s="2">
        <v>10</v>
      </c>
      <c r="D763" s="2">
        <v>10</v>
      </c>
      <c r="E763" s="2">
        <v>6</v>
      </c>
      <c r="F763" s="2">
        <v>8</v>
      </c>
      <c r="G763" s="2">
        <v>4</v>
      </c>
      <c r="H763" s="2">
        <v>8</v>
      </c>
      <c r="I763" s="2">
        <v>5</v>
      </c>
      <c r="J763" s="2">
        <v>1</v>
      </c>
      <c r="K763" s="2">
        <v>4</v>
      </c>
      <c r="L763" s="2" t="b">
        <f t="shared" si="40"/>
        <v>1</v>
      </c>
    </row>
    <row r="764" spans="2:12">
      <c r="B764" s="2">
        <v>10</v>
      </c>
      <c r="C764" s="2">
        <v>10</v>
      </c>
      <c r="D764" s="2">
        <v>10</v>
      </c>
      <c r="E764" s="2">
        <v>7</v>
      </c>
      <c r="F764" s="2">
        <v>10</v>
      </c>
      <c r="G764" s="2">
        <v>10</v>
      </c>
      <c r="H764" s="2">
        <v>8</v>
      </c>
      <c r="I764" s="2">
        <v>2</v>
      </c>
      <c r="J764" s="2">
        <v>1</v>
      </c>
      <c r="K764" s="2">
        <v>4</v>
      </c>
      <c r="L764" s="2" t="b">
        <f t="shared" si="40"/>
        <v>1</v>
      </c>
    </row>
    <row r="765" spans="2:12">
      <c r="B765" s="2">
        <v>9</v>
      </c>
      <c r="C765" s="2">
        <v>10</v>
      </c>
      <c r="D765" s="2">
        <v>10</v>
      </c>
      <c r="E765" s="2">
        <v>10</v>
      </c>
      <c r="F765" s="2">
        <v>10</v>
      </c>
      <c r="G765" s="2">
        <v>10</v>
      </c>
      <c r="H765" s="2">
        <v>10</v>
      </c>
      <c r="I765" s="2">
        <v>10</v>
      </c>
      <c r="J765" s="2">
        <v>1</v>
      </c>
      <c r="K765" s="2">
        <v>4</v>
      </c>
      <c r="L765" s="2" t="b">
        <f t="shared" si="40"/>
        <v>1</v>
      </c>
    </row>
    <row r="766" spans="2:12">
      <c r="B766" s="2">
        <v>10</v>
      </c>
      <c r="C766" s="2">
        <v>10</v>
      </c>
      <c r="D766" s="2">
        <v>10</v>
      </c>
      <c r="E766" s="2">
        <v>1</v>
      </c>
      <c r="F766" s="2">
        <v>6</v>
      </c>
      <c r="G766" s="2">
        <v>1</v>
      </c>
      <c r="H766" s="2">
        <v>2</v>
      </c>
      <c r="I766" s="2">
        <v>8</v>
      </c>
      <c r="J766" s="2">
        <v>1</v>
      </c>
      <c r="K766" s="2">
        <v>4</v>
      </c>
      <c r="L766" s="2" t="b">
        <f t="shared" si="40"/>
        <v>1</v>
      </c>
    </row>
    <row r="767" spans="2:12">
      <c r="B767" s="2">
        <v>9</v>
      </c>
      <c r="C767" s="2">
        <v>10</v>
      </c>
      <c r="D767" s="2">
        <v>10</v>
      </c>
      <c r="E767" s="2">
        <v>10</v>
      </c>
      <c r="F767" s="2">
        <v>10</v>
      </c>
      <c r="G767" s="2">
        <v>5</v>
      </c>
      <c r="H767" s="2">
        <v>10</v>
      </c>
      <c r="I767" s="2">
        <v>10</v>
      </c>
      <c r="J767" s="2">
        <v>10</v>
      </c>
      <c r="K767" s="2">
        <v>4</v>
      </c>
      <c r="L767" s="2" t="b">
        <f t="shared" si="40"/>
        <v>1</v>
      </c>
    </row>
    <row r="768" spans="2:12">
      <c r="B768" s="2">
        <v>10</v>
      </c>
      <c r="C768" s="2">
        <v>10</v>
      </c>
      <c r="D768" s="2">
        <v>10</v>
      </c>
      <c r="E768" s="2">
        <v>10</v>
      </c>
      <c r="F768" s="2">
        <v>6</v>
      </c>
      <c r="G768" s="2">
        <v>10</v>
      </c>
      <c r="H768" s="2">
        <v>8</v>
      </c>
      <c r="I768" s="2">
        <v>1</v>
      </c>
      <c r="J768" s="2">
        <v>5</v>
      </c>
      <c r="K768" s="2">
        <v>4</v>
      </c>
      <c r="L768" s="2" t="b">
        <f t="shared" si="40"/>
        <v>1</v>
      </c>
    </row>
    <row r="769" spans="2:12">
      <c r="B769" s="2">
        <v>5</v>
      </c>
      <c r="C769" s="2">
        <v>10</v>
      </c>
      <c r="D769" s="2">
        <v>10</v>
      </c>
      <c r="E769" s="2">
        <v>10</v>
      </c>
      <c r="F769" s="2">
        <v>6</v>
      </c>
      <c r="G769" s="2">
        <v>10</v>
      </c>
      <c r="H769" s="2">
        <v>6</v>
      </c>
      <c r="I769" s="2">
        <v>5</v>
      </c>
      <c r="J769" s="2">
        <v>2</v>
      </c>
      <c r="K769" s="2">
        <v>4</v>
      </c>
      <c r="L769" s="2" t="b">
        <f t="shared" si="40"/>
        <v>1</v>
      </c>
    </row>
    <row r="770" spans="2:12">
      <c r="B770" s="2">
        <v>8</v>
      </c>
      <c r="C770" s="2">
        <v>10</v>
      </c>
      <c r="D770" s="2">
        <v>10</v>
      </c>
      <c r="E770" s="2">
        <v>10</v>
      </c>
      <c r="F770" s="2">
        <v>7</v>
      </c>
      <c r="G770" s="2">
        <v>5</v>
      </c>
      <c r="H770" s="2">
        <v>4</v>
      </c>
      <c r="I770" s="2">
        <v>8</v>
      </c>
      <c r="J770" s="2">
        <v>7</v>
      </c>
      <c r="K770" s="2">
        <v>4</v>
      </c>
      <c r="L770" s="2" t="b">
        <f t="shared" si="40"/>
        <v>1</v>
      </c>
    </row>
    <row r="771" spans="2:12">
      <c r="B771" s="2">
        <v>4</v>
      </c>
      <c r="C771" s="2">
        <v>10</v>
      </c>
      <c r="D771" s="2">
        <v>4</v>
      </c>
      <c r="E771" s="2">
        <v>7</v>
      </c>
      <c r="F771" s="2">
        <v>3</v>
      </c>
      <c r="G771" s="2">
        <v>10</v>
      </c>
      <c r="H771" s="2">
        <v>9</v>
      </c>
      <c r="I771" s="2">
        <v>10</v>
      </c>
      <c r="J771" s="2">
        <v>1</v>
      </c>
      <c r="K771" s="2">
        <v>4</v>
      </c>
      <c r="L771" s="2" t="b">
        <f t="shared" si="40"/>
        <v>1</v>
      </c>
    </row>
    <row r="772" spans="2:12">
      <c r="B772" s="2">
        <v>6</v>
      </c>
      <c r="C772" s="2">
        <v>10</v>
      </c>
      <c r="D772" s="2">
        <v>10</v>
      </c>
      <c r="E772" s="2">
        <v>10</v>
      </c>
      <c r="F772" s="2">
        <v>4</v>
      </c>
      <c r="G772" s="2">
        <v>10</v>
      </c>
      <c r="H772" s="2">
        <v>7</v>
      </c>
      <c r="I772" s="2">
        <v>10</v>
      </c>
      <c r="J772" s="2">
        <v>1</v>
      </c>
      <c r="K772" s="2">
        <v>4</v>
      </c>
      <c r="L772" s="2" t="b">
        <f t="shared" si="40"/>
        <v>1</v>
      </c>
    </row>
    <row r="773" spans="2:12">
      <c r="B773" s="2">
        <v>10</v>
      </c>
      <c r="C773" s="2">
        <v>10</v>
      </c>
      <c r="D773" s="2">
        <v>8</v>
      </c>
      <c r="E773" s="2">
        <v>10</v>
      </c>
      <c r="F773" s="2">
        <v>6</v>
      </c>
      <c r="G773" s="2">
        <v>5</v>
      </c>
      <c r="H773" s="2">
        <v>10</v>
      </c>
      <c r="I773" s="2">
        <v>3</v>
      </c>
      <c r="J773" s="2">
        <v>1</v>
      </c>
      <c r="K773" s="2">
        <v>4</v>
      </c>
      <c r="L773" s="2" t="b">
        <f t="shared" si="40"/>
        <v>1</v>
      </c>
    </row>
    <row r="774" spans="2:12">
      <c r="B774" s="2">
        <v>8</v>
      </c>
      <c r="C774" s="2">
        <v>10</v>
      </c>
      <c r="D774" s="2">
        <v>4</v>
      </c>
      <c r="E774" s="2">
        <v>4</v>
      </c>
      <c r="F774" s="2">
        <v>8</v>
      </c>
      <c r="G774" s="2">
        <v>10</v>
      </c>
      <c r="H774" s="2">
        <v>8</v>
      </c>
      <c r="I774" s="2">
        <v>2</v>
      </c>
      <c r="J774" s="2">
        <v>1</v>
      </c>
      <c r="K774" s="2">
        <v>4</v>
      </c>
      <c r="L774" s="2" t="b">
        <f t="shared" si="40"/>
        <v>1</v>
      </c>
    </row>
    <row r="775" spans="2:12">
      <c r="B775" s="2">
        <v>6</v>
      </c>
      <c r="C775" s="2">
        <v>10</v>
      </c>
      <c r="D775" s="2">
        <v>5</v>
      </c>
      <c r="E775" s="2">
        <v>5</v>
      </c>
      <c r="F775" s="2">
        <v>4</v>
      </c>
      <c r="G775" s="2">
        <v>10</v>
      </c>
      <c r="H775" s="2">
        <v>6</v>
      </c>
      <c r="I775" s="2">
        <v>10</v>
      </c>
      <c r="J775" s="2">
        <v>1</v>
      </c>
      <c r="K775" s="2">
        <v>4</v>
      </c>
      <c r="L775" s="2" t="b">
        <f t="shared" si="40"/>
        <v>1</v>
      </c>
    </row>
    <row r="776" spans="2:12">
      <c r="B776" s="2">
        <v>8</v>
      </c>
      <c r="C776" s="2">
        <v>10</v>
      </c>
      <c r="D776" s="2">
        <v>10</v>
      </c>
      <c r="E776" s="2">
        <v>10</v>
      </c>
      <c r="F776" s="2">
        <v>6</v>
      </c>
      <c r="G776" s="2">
        <v>10</v>
      </c>
      <c r="H776" s="2">
        <v>10</v>
      </c>
      <c r="I776" s="2">
        <v>10</v>
      </c>
      <c r="J776" s="2">
        <v>1</v>
      </c>
      <c r="K776" s="2">
        <v>4</v>
      </c>
      <c r="L776" s="2" t="b">
        <f t="shared" si="40"/>
        <v>1</v>
      </c>
    </row>
    <row r="777" spans="2:12">
      <c r="B777" s="2">
        <v>4</v>
      </c>
      <c r="C777" s="2">
        <v>10</v>
      </c>
      <c r="D777" s="2">
        <v>8</v>
      </c>
      <c r="E777" s="2">
        <v>5</v>
      </c>
      <c r="F777" s="2">
        <v>4</v>
      </c>
      <c r="G777" s="2">
        <v>1</v>
      </c>
      <c r="H777" s="2">
        <v>10</v>
      </c>
      <c r="I777" s="2">
        <v>1</v>
      </c>
      <c r="J777" s="2">
        <v>1</v>
      </c>
      <c r="K777" s="2">
        <v>4</v>
      </c>
      <c r="L777" s="2" t="b">
        <f t="shared" si="40"/>
        <v>1</v>
      </c>
    </row>
    <row r="778" spans="2:12">
      <c r="B778" s="2">
        <v>5</v>
      </c>
      <c r="C778" s="2">
        <v>10</v>
      </c>
      <c r="D778" s="2">
        <v>10</v>
      </c>
      <c r="E778" s="2">
        <v>10</v>
      </c>
      <c r="F778" s="2">
        <v>10</v>
      </c>
      <c r="G778" s="2">
        <v>10</v>
      </c>
      <c r="H778" s="2">
        <v>10</v>
      </c>
      <c r="I778" s="2">
        <v>1</v>
      </c>
      <c r="J778" s="2">
        <v>1</v>
      </c>
      <c r="K778" s="2">
        <v>4</v>
      </c>
      <c r="L778" s="2" t="b">
        <f t="shared" si="40"/>
        <v>1</v>
      </c>
    </row>
    <row r="779" spans="2:12">
      <c r="B779" s="2">
        <v>5</v>
      </c>
      <c r="C779" s="2">
        <v>10</v>
      </c>
      <c r="D779" s="2">
        <v>10</v>
      </c>
      <c r="E779" s="2">
        <v>10</v>
      </c>
      <c r="F779" s="2">
        <v>5</v>
      </c>
      <c r="G779" s="2">
        <v>2</v>
      </c>
      <c r="H779" s="2">
        <v>8</v>
      </c>
      <c r="I779" s="2">
        <v>5</v>
      </c>
      <c r="J779" s="2">
        <v>1</v>
      </c>
      <c r="K779" s="2">
        <v>4</v>
      </c>
      <c r="L779" s="2" t="b">
        <f t="shared" si="40"/>
        <v>1</v>
      </c>
    </row>
    <row r="780" spans="2:12">
      <c r="B780" s="2">
        <v>8</v>
      </c>
      <c r="C780" s="2">
        <v>10</v>
      </c>
      <c r="D780" s="2">
        <v>10</v>
      </c>
      <c r="E780" s="2">
        <v>10</v>
      </c>
      <c r="F780" s="2">
        <v>6</v>
      </c>
      <c r="G780" s="2">
        <v>10</v>
      </c>
      <c r="H780" s="2">
        <v>10</v>
      </c>
      <c r="I780" s="2">
        <v>10</v>
      </c>
      <c r="J780" s="2">
        <v>10</v>
      </c>
      <c r="K780" s="2">
        <v>4</v>
      </c>
      <c r="L780" s="2" t="b">
        <f t="shared" si="40"/>
        <v>1</v>
      </c>
    </row>
    <row r="781" spans="2:12">
      <c r="B781" s="2">
        <v>10</v>
      </c>
      <c r="C781" s="2">
        <v>10</v>
      </c>
      <c r="D781" s="2">
        <v>7</v>
      </c>
      <c r="E781" s="2">
        <v>8</v>
      </c>
      <c r="F781" s="2">
        <v>7</v>
      </c>
      <c r="G781" s="2">
        <v>1</v>
      </c>
      <c r="H781" s="2">
        <v>10</v>
      </c>
      <c r="I781" s="2">
        <v>10</v>
      </c>
      <c r="J781" s="2">
        <v>3</v>
      </c>
      <c r="K781" s="2">
        <v>4</v>
      </c>
      <c r="L781" s="2" t="b">
        <f t="shared" si="40"/>
        <v>1</v>
      </c>
    </row>
    <row r="782" spans="2:12">
      <c r="B782" s="2">
        <v>5</v>
      </c>
      <c r="C782" s="2">
        <v>10</v>
      </c>
      <c r="D782" s="2">
        <v>10</v>
      </c>
      <c r="E782" s="2">
        <v>10</v>
      </c>
      <c r="F782" s="2">
        <v>10</v>
      </c>
      <c r="G782" s="2">
        <v>2</v>
      </c>
      <c r="H782" s="2">
        <v>10</v>
      </c>
      <c r="I782" s="2">
        <v>10</v>
      </c>
      <c r="J782" s="2">
        <v>10</v>
      </c>
      <c r="K782" s="2">
        <v>4</v>
      </c>
      <c r="L782" s="2" t="b">
        <f t="shared" si="40"/>
        <v>1</v>
      </c>
    </row>
    <row r="783" spans="2:12">
      <c r="B783" s="2">
        <v>5</v>
      </c>
      <c r="C783" s="2">
        <v>10</v>
      </c>
      <c r="D783" s="2">
        <v>10</v>
      </c>
      <c r="E783" s="2">
        <v>8</v>
      </c>
      <c r="F783" s="2">
        <v>5</v>
      </c>
      <c r="G783" s="2">
        <v>5</v>
      </c>
      <c r="H783" s="2">
        <v>7</v>
      </c>
      <c r="I783" s="2">
        <v>10</v>
      </c>
      <c r="J783" s="2">
        <v>1</v>
      </c>
      <c r="K783" s="2">
        <v>4</v>
      </c>
      <c r="L783" s="2" t="b">
        <f t="shared" si="40"/>
        <v>1</v>
      </c>
    </row>
    <row r="784" spans="2:12">
      <c r="B784" s="2">
        <v>3</v>
      </c>
      <c r="C784" s="2">
        <v>10</v>
      </c>
      <c r="D784" s="2">
        <v>7</v>
      </c>
      <c r="E784" s="2">
        <v>8</v>
      </c>
      <c r="F784" s="2">
        <v>5</v>
      </c>
      <c r="G784" s="2">
        <v>8</v>
      </c>
      <c r="H784" s="2">
        <v>7</v>
      </c>
      <c r="I784" s="2">
        <v>4</v>
      </c>
      <c r="J784" s="2">
        <v>1</v>
      </c>
      <c r="K784" s="2">
        <v>4</v>
      </c>
      <c r="L784" s="2" t="b">
        <f t="shared" si="40"/>
        <v>1</v>
      </c>
    </row>
    <row r="785" spans="2:12">
      <c r="B785" s="2">
        <v>10</v>
      </c>
      <c r="C785" s="2">
        <v>10</v>
      </c>
      <c r="D785" s="2">
        <v>10</v>
      </c>
      <c r="E785" s="2">
        <v>10</v>
      </c>
      <c r="F785" s="2">
        <v>5</v>
      </c>
      <c r="G785" s="2">
        <v>10</v>
      </c>
      <c r="H785" s="2">
        <v>10</v>
      </c>
      <c r="I785" s="2">
        <v>10</v>
      </c>
      <c r="J785" s="2">
        <v>7</v>
      </c>
      <c r="K785" s="2">
        <v>4</v>
      </c>
      <c r="L785" s="2" t="b">
        <f t="shared" si="40"/>
        <v>1</v>
      </c>
    </row>
    <row r="786" spans="2:12">
      <c r="B786" s="2">
        <v>5</v>
      </c>
      <c r="C786" s="2">
        <v>10</v>
      </c>
      <c r="D786" s="2">
        <v>10</v>
      </c>
      <c r="E786" s="2">
        <v>10</v>
      </c>
      <c r="F786" s="2">
        <v>4</v>
      </c>
      <c r="G786" s="2">
        <v>10</v>
      </c>
      <c r="H786" s="2">
        <v>5</v>
      </c>
      <c r="I786" s="2">
        <v>6</v>
      </c>
      <c r="J786" s="2">
        <v>3</v>
      </c>
      <c r="K786" s="2">
        <v>4</v>
      </c>
      <c r="L786" s="2" t="b">
        <f t="shared" si="40"/>
        <v>1</v>
      </c>
    </row>
    <row r="787" spans="2:12">
      <c r="B787" s="2">
        <v>5</v>
      </c>
      <c r="C787" s="2">
        <v>10</v>
      </c>
      <c r="D787" s="2">
        <v>10</v>
      </c>
      <c r="E787" s="2">
        <v>5</v>
      </c>
      <c r="F787" s="2">
        <v>4</v>
      </c>
      <c r="G787" s="2">
        <v>5</v>
      </c>
      <c r="H787" s="2">
        <v>4</v>
      </c>
      <c r="I787" s="2">
        <v>4</v>
      </c>
      <c r="J787" s="2">
        <v>1</v>
      </c>
      <c r="K787" s="2">
        <v>4</v>
      </c>
      <c r="L787" s="2" t="b">
        <f t="shared" si="40"/>
        <v>1</v>
      </c>
    </row>
    <row r="788" spans="2:12">
      <c r="B788" s="2">
        <v>5</v>
      </c>
      <c r="C788" s="2">
        <v>10</v>
      </c>
      <c r="D788" s="2">
        <v>10</v>
      </c>
      <c r="E788" s="2">
        <v>3</v>
      </c>
      <c r="F788" s="2">
        <v>7</v>
      </c>
      <c r="G788" s="2">
        <v>3</v>
      </c>
      <c r="H788" s="2">
        <v>8</v>
      </c>
      <c r="I788" s="2">
        <v>10</v>
      </c>
      <c r="J788" s="2">
        <v>2</v>
      </c>
      <c r="K788" s="2">
        <v>4</v>
      </c>
      <c r="L788" s="2" t="b">
        <f t="shared" si="40"/>
        <v>1</v>
      </c>
    </row>
  </sheetData>
  <pageMargins left="0.75" right="0.75" top="1" bottom="1" header="0.5" footer="0.5"/>
  <pageSetup orientation="portrait"/>
  <headerFooter alignWithMargins="0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701"/>
  <sheetViews>
    <sheetView tabSelected="1" workbookViewId="0">
      <selection activeCell="N4" sqref="N4"/>
    </sheetView>
  </sheetViews>
  <sheetFormatPr baseColWidth="10" defaultColWidth="8.83203125" defaultRowHeight="15" x14ac:dyDescent="0"/>
  <cols>
    <col min="1" max="2" width="4.1640625" customWidth="1"/>
    <col min="3" max="3" width="3.5" customWidth="1"/>
    <col min="4" max="4" width="4.1640625" customWidth="1"/>
    <col min="5" max="5" width="3.33203125" customWidth="1"/>
    <col min="6" max="7" width="3.6640625" customWidth="1"/>
    <col min="8" max="8" width="3.5" customWidth="1"/>
    <col min="9" max="10" width="3.6640625" customWidth="1"/>
    <col min="11" max="11" width="8.5" customWidth="1"/>
    <col min="12" max="12" width="2.5" customWidth="1"/>
    <col min="13" max="13" width="14.83203125" customWidth="1"/>
    <col min="14" max="14" width="6.6640625" customWidth="1"/>
    <col min="15" max="16" width="6.83203125" bestFit="1" customWidth="1"/>
    <col min="17" max="17" width="6.6640625" customWidth="1"/>
    <col min="18" max="18" width="6.83203125" bestFit="1" customWidth="1"/>
    <col min="19" max="19" width="15" bestFit="1" customWidth="1"/>
    <col min="20" max="20" width="12.1640625" bestFit="1" customWidth="1"/>
    <col min="21" max="21" width="6.83203125" bestFit="1" customWidth="1"/>
    <col min="22" max="22" width="6.83203125" customWidth="1"/>
  </cols>
  <sheetData>
    <row r="1" spans="1:24">
      <c r="A1" s="11" t="s">
        <v>23</v>
      </c>
      <c r="N1" s="27" t="s">
        <v>24</v>
      </c>
      <c r="O1" s="27"/>
      <c r="P1" s="27"/>
      <c r="Q1" s="27"/>
      <c r="R1" s="27"/>
      <c r="S1" s="27"/>
      <c r="T1" s="27"/>
      <c r="U1" s="27"/>
      <c r="V1" s="27"/>
    </row>
    <row r="2" spans="1:24" ht="13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9</v>
      </c>
      <c r="J2" s="1" t="s">
        <v>10</v>
      </c>
      <c r="K2" s="1" t="s">
        <v>16</v>
      </c>
      <c r="N2" s="12" t="s">
        <v>0</v>
      </c>
      <c r="O2" s="12" t="s">
        <v>1</v>
      </c>
      <c r="P2" s="12" t="s">
        <v>2</v>
      </c>
      <c r="Q2" s="12" t="s">
        <v>3</v>
      </c>
      <c r="R2" s="12" t="s">
        <v>4</v>
      </c>
      <c r="S2" s="12" t="s">
        <v>5</v>
      </c>
      <c r="T2" s="12" t="s">
        <v>6</v>
      </c>
      <c r="U2" s="12" t="s">
        <v>7</v>
      </c>
      <c r="V2" s="12" t="s">
        <v>9</v>
      </c>
      <c r="W2" s="12"/>
      <c r="X2" s="12"/>
    </row>
    <row r="3" spans="1:24">
      <c r="A3" s="2">
        <v>5</v>
      </c>
      <c r="B3" s="2">
        <v>1</v>
      </c>
      <c r="C3" s="2">
        <v>1</v>
      </c>
      <c r="D3" s="2">
        <v>1</v>
      </c>
      <c r="E3" s="2">
        <v>2</v>
      </c>
      <c r="F3" s="2">
        <v>1</v>
      </c>
      <c r="G3" s="2">
        <v>3</v>
      </c>
      <c r="H3" s="2">
        <v>1</v>
      </c>
      <c r="I3" s="2">
        <v>1</v>
      </c>
      <c r="J3" s="2">
        <v>2</v>
      </c>
      <c r="K3" s="2" t="b">
        <f t="shared" ref="K3:K66" si="0">IF(J3=4, TRUE, FALSE)</f>
        <v>0</v>
      </c>
      <c r="M3" s="11" t="s">
        <v>22</v>
      </c>
    </row>
    <row r="4" spans="1:24">
      <c r="A4" s="2">
        <v>4</v>
      </c>
      <c r="B4" s="2">
        <v>1</v>
      </c>
      <c r="C4" s="2">
        <v>1</v>
      </c>
      <c r="D4" s="2">
        <v>3</v>
      </c>
      <c r="E4" s="2">
        <v>2</v>
      </c>
      <c r="F4" s="2">
        <v>1</v>
      </c>
      <c r="G4" s="2">
        <v>3</v>
      </c>
      <c r="H4" s="2">
        <v>1</v>
      </c>
      <c r="I4" s="2">
        <v>1</v>
      </c>
      <c r="J4" s="2">
        <v>2</v>
      </c>
      <c r="K4" s="2" t="b">
        <f t="shared" si="0"/>
        <v>0</v>
      </c>
      <c r="M4" t="s">
        <v>18</v>
      </c>
      <c r="N4" s="13">
        <f t="shared" ref="N4:V4" si="1">infoGain(A$3:A$701, $K$3:$K$701)</f>
        <v>0.46472830264543913</v>
      </c>
      <c r="O4" s="15">
        <f t="shared" si="1"/>
        <v>0.68426862218071038</v>
      </c>
      <c r="P4" s="13">
        <f t="shared" si="1"/>
        <v>0.66097264380543619</v>
      </c>
      <c r="Q4" s="13">
        <f t="shared" si="1"/>
        <v>0.4490153249585252</v>
      </c>
      <c r="R4" s="13">
        <f t="shared" si="1"/>
        <v>0.51409128743530585</v>
      </c>
      <c r="S4" s="13">
        <f t="shared" si="1"/>
        <v>0.60598446417710528</v>
      </c>
      <c r="T4" s="13">
        <f t="shared" si="1"/>
        <v>0.54776401162908783</v>
      </c>
      <c r="U4" s="13">
        <f t="shared" si="1"/>
        <v>0.47547303307684596</v>
      </c>
      <c r="V4" s="13">
        <f t="shared" si="1"/>
        <v>0.21012420275842913</v>
      </c>
    </row>
    <row r="5" spans="1:24">
      <c r="A5" s="2">
        <v>2</v>
      </c>
      <c r="B5" s="2">
        <v>1</v>
      </c>
      <c r="C5" s="2">
        <v>2</v>
      </c>
      <c r="D5" s="2">
        <v>1</v>
      </c>
      <c r="E5" s="2">
        <v>2</v>
      </c>
      <c r="F5" s="2">
        <v>1</v>
      </c>
      <c r="G5" s="2">
        <v>3</v>
      </c>
      <c r="H5" s="2">
        <v>1</v>
      </c>
      <c r="I5" s="2">
        <v>1</v>
      </c>
      <c r="J5" s="2">
        <v>2</v>
      </c>
      <c r="K5" s="2" t="b">
        <f t="shared" si="0"/>
        <v>0</v>
      </c>
      <c r="M5" s="18" t="s">
        <v>35</v>
      </c>
      <c r="N5" s="18" t="str">
        <f>INDEX($N$2:$V$2,MATCH(MAX($N4:$V4),$N4:$V4,0))</f>
        <v xml:space="preserve"> uniformity_of_cell_size</v>
      </c>
    </row>
    <row r="6" spans="1:24">
      <c r="A6" s="2">
        <v>2</v>
      </c>
      <c r="B6" s="2">
        <v>1</v>
      </c>
      <c r="C6" s="2">
        <v>1</v>
      </c>
      <c r="D6" s="2">
        <v>1</v>
      </c>
      <c r="E6" s="2">
        <v>2</v>
      </c>
      <c r="F6" s="2">
        <v>1</v>
      </c>
      <c r="G6" s="2">
        <v>1</v>
      </c>
      <c r="H6" s="2">
        <v>1</v>
      </c>
      <c r="I6" s="2">
        <v>5</v>
      </c>
      <c r="J6" s="2">
        <v>2</v>
      </c>
      <c r="K6" s="2" t="b">
        <f t="shared" si="0"/>
        <v>0</v>
      </c>
    </row>
    <row r="7" spans="1:24">
      <c r="A7" s="2">
        <v>1</v>
      </c>
      <c r="B7" s="2">
        <v>1</v>
      </c>
      <c r="C7" s="2">
        <v>1</v>
      </c>
      <c r="D7" s="2">
        <v>1</v>
      </c>
      <c r="E7" s="2">
        <v>1</v>
      </c>
      <c r="F7" s="2">
        <v>1</v>
      </c>
      <c r="G7" s="2">
        <v>3</v>
      </c>
      <c r="H7" s="2">
        <v>1</v>
      </c>
      <c r="I7" s="2">
        <v>1</v>
      </c>
      <c r="J7" s="2">
        <v>2</v>
      </c>
      <c r="K7" s="2" t="b">
        <f t="shared" si="0"/>
        <v>0</v>
      </c>
      <c r="M7" s="11" t="s">
        <v>27</v>
      </c>
      <c r="S7" s="17" t="s">
        <v>25</v>
      </c>
      <c r="T7" s="18">
        <f>COUNTIF($K$3:$K$386, "=TRUE")/COUNTA($K$3:$K$386)</f>
        <v>1.0416666666666666E-2</v>
      </c>
    </row>
    <row r="8" spans="1:24">
      <c r="A8" s="2">
        <v>2</v>
      </c>
      <c r="B8" s="2">
        <v>1</v>
      </c>
      <c r="C8" s="2">
        <v>1</v>
      </c>
      <c r="D8" s="2">
        <v>1</v>
      </c>
      <c r="E8" s="2">
        <v>2</v>
      </c>
      <c r="F8" s="2">
        <v>1</v>
      </c>
      <c r="G8" s="2">
        <v>2</v>
      </c>
      <c r="H8" s="2">
        <v>1</v>
      </c>
      <c r="I8" s="2">
        <v>1</v>
      </c>
      <c r="J8" s="2">
        <v>2</v>
      </c>
      <c r="K8" s="2" t="b">
        <f t="shared" si="0"/>
        <v>0</v>
      </c>
      <c r="M8" t="s">
        <v>18</v>
      </c>
      <c r="N8" s="13">
        <f t="shared" ref="N8:V8" si="2">infoGain(A$3:A$386,$K$3:$K$386)</f>
        <v>5.2482869228909899E-2</v>
      </c>
      <c r="O8" s="13">
        <f t="shared" si="2"/>
        <v>-1.3877787807814457E-17</v>
      </c>
      <c r="P8" s="13">
        <f t="shared" si="2"/>
        <v>6.454638952870656E-3</v>
      </c>
      <c r="Q8" s="13">
        <f t="shared" si="2"/>
        <v>1.4988769917105002E-2</v>
      </c>
      <c r="R8" s="13">
        <f t="shared" si="2"/>
        <v>2.7758490732542593E-2</v>
      </c>
      <c r="S8" s="15">
        <f t="shared" si="2"/>
        <v>5.8457658985475836E-2</v>
      </c>
      <c r="T8" s="13">
        <f t="shared" si="2"/>
        <v>4.3409588712787057E-2</v>
      </c>
      <c r="U8" s="13">
        <f t="shared" si="2"/>
        <v>5.7718929157036351E-2</v>
      </c>
      <c r="V8" s="13">
        <f t="shared" si="2"/>
        <v>9.3858416957822155E-3</v>
      </c>
    </row>
    <row r="9" spans="1:24">
      <c r="A9" s="2">
        <v>4</v>
      </c>
      <c r="B9" s="2">
        <v>1</v>
      </c>
      <c r="C9" s="2">
        <v>1</v>
      </c>
      <c r="D9" s="2">
        <v>1</v>
      </c>
      <c r="E9" s="2">
        <v>2</v>
      </c>
      <c r="F9" s="2">
        <v>1</v>
      </c>
      <c r="G9" s="2">
        <v>2</v>
      </c>
      <c r="H9" s="2">
        <v>1</v>
      </c>
      <c r="I9" s="2">
        <v>1</v>
      </c>
      <c r="J9" s="2">
        <v>2</v>
      </c>
      <c r="K9" s="2" t="b">
        <f t="shared" si="0"/>
        <v>0</v>
      </c>
      <c r="M9" s="18" t="s">
        <v>35</v>
      </c>
      <c r="N9" s="18" t="str">
        <f>INDEX($N$2:$V$2,MATCH(MAX($N8:$V8),$N8:$V8,0))</f>
        <v xml:space="preserve"> bare_nucleoli</v>
      </c>
    </row>
    <row r="10" spans="1:24">
      <c r="A10" s="2">
        <v>4</v>
      </c>
      <c r="B10" s="2">
        <v>1</v>
      </c>
      <c r="C10" s="2">
        <v>1</v>
      </c>
      <c r="D10" s="2">
        <v>1</v>
      </c>
      <c r="E10" s="2">
        <v>2</v>
      </c>
      <c r="F10" s="2">
        <v>1</v>
      </c>
      <c r="G10" s="2">
        <v>3</v>
      </c>
      <c r="H10" s="2">
        <v>1</v>
      </c>
      <c r="I10" s="2">
        <v>1</v>
      </c>
      <c r="J10" s="2">
        <v>2</v>
      </c>
      <c r="K10" s="2" t="b">
        <f t="shared" si="0"/>
        <v>0</v>
      </c>
      <c r="M10" s="11" t="s">
        <v>38</v>
      </c>
      <c r="S10" s="17" t="s">
        <v>25</v>
      </c>
      <c r="T10" s="23">
        <f>COUNTIF($K$3:$K$338, "=TRUE")/COUNTA($K$3:$K$338)</f>
        <v>0</v>
      </c>
    </row>
    <row r="11" spans="1:24">
      <c r="A11" s="2">
        <v>6</v>
      </c>
      <c r="B11" s="2">
        <v>1</v>
      </c>
      <c r="C11" s="2">
        <v>1</v>
      </c>
      <c r="D11" s="2">
        <v>1</v>
      </c>
      <c r="E11" s="2">
        <v>2</v>
      </c>
      <c r="F11" s="2">
        <v>1</v>
      </c>
      <c r="G11" s="2">
        <v>3</v>
      </c>
      <c r="H11" s="2">
        <v>1</v>
      </c>
      <c r="I11" s="2">
        <v>1</v>
      </c>
      <c r="J11" s="2">
        <v>2</v>
      </c>
      <c r="K11" s="2" t="b">
        <f t="shared" si="0"/>
        <v>0</v>
      </c>
      <c r="N11" s="18" t="s">
        <v>39</v>
      </c>
    </row>
    <row r="12" spans="1:24">
      <c r="A12" s="2">
        <v>3</v>
      </c>
      <c r="B12" s="2">
        <v>1</v>
      </c>
      <c r="C12" s="2">
        <v>1</v>
      </c>
      <c r="D12" s="2">
        <v>1</v>
      </c>
      <c r="E12" s="2">
        <v>2</v>
      </c>
      <c r="F12" s="2">
        <v>1</v>
      </c>
      <c r="G12" s="2">
        <v>2</v>
      </c>
      <c r="H12" s="2">
        <v>1</v>
      </c>
      <c r="I12" s="2">
        <v>1</v>
      </c>
      <c r="J12" s="2">
        <v>2</v>
      </c>
      <c r="K12" s="2" t="b">
        <f t="shared" si="0"/>
        <v>0</v>
      </c>
      <c r="M12" s="11" t="s">
        <v>40</v>
      </c>
      <c r="S12" s="17" t="s">
        <v>25</v>
      </c>
      <c r="T12" s="22">
        <f>COUNTIF($K$339:$K$351, "=TRUE")/COUNTA($K$339:$K$351)</f>
        <v>0</v>
      </c>
    </row>
    <row r="13" spans="1:24">
      <c r="A13" s="2">
        <v>1</v>
      </c>
      <c r="B13" s="2">
        <v>1</v>
      </c>
      <c r="C13" s="2">
        <v>1</v>
      </c>
      <c r="D13" s="2">
        <v>1</v>
      </c>
      <c r="E13" s="2">
        <v>2</v>
      </c>
      <c r="F13" s="2">
        <v>1</v>
      </c>
      <c r="G13" s="2">
        <v>3</v>
      </c>
      <c r="H13" s="2">
        <v>1</v>
      </c>
      <c r="I13" s="2">
        <v>1</v>
      </c>
      <c r="J13" s="2">
        <v>2</v>
      </c>
      <c r="K13" s="2" t="b">
        <f t="shared" si="0"/>
        <v>0</v>
      </c>
      <c r="N13" s="18" t="s">
        <v>39</v>
      </c>
    </row>
    <row r="14" spans="1:24">
      <c r="A14" s="2">
        <v>5</v>
      </c>
      <c r="B14" s="2">
        <v>1</v>
      </c>
      <c r="C14" s="2">
        <v>1</v>
      </c>
      <c r="D14" s="2">
        <v>1</v>
      </c>
      <c r="E14" s="2">
        <v>2</v>
      </c>
      <c r="F14" s="2">
        <v>1</v>
      </c>
      <c r="G14" s="2">
        <v>2</v>
      </c>
      <c r="H14" s="2">
        <v>1</v>
      </c>
      <c r="I14" s="2">
        <v>1</v>
      </c>
      <c r="J14" s="2">
        <v>2</v>
      </c>
      <c r="K14" s="2" t="b">
        <f t="shared" si="0"/>
        <v>0</v>
      </c>
      <c r="M14" s="11" t="s">
        <v>41</v>
      </c>
      <c r="S14" s="17" t="s">
        <v>25</v>
      </c>
      <c r="T14" s="23">
        <f>COUNTIF($K$352:$K$359, "=TRUE")/COUNTA($K$352:$K$359)</f>
        <v>0</v>
      </c>
    </row>
    <row r="15" spans="1:24">
      <c r="A15" s="2">
        <v>2</v>
      </c>
      <c r="B15" s="2">
        <v>1</v>
      </c>
      <c r="C15" s="2">
        <v>1</v>
      </c>
      <c r="D15" s="2">
        <v>1</v>
      </c>
      <c r="E15" s="2">
        <v>2</v>
      </c>
      <c r="F15" s="2">
        <v>1</v>
      </c>
      <c r="G15" s="2">
        <v>2</v>
      </c>
      <c r="H15" s="2">
        <v>1</v>
      </c>
      <c r="I15" s="2">
        <v>1</v>
      </c>
      <c r="J15" s="2">
        <v>2</v>
      </c>
      <c r="K15" s="2" t="b">
        <f t="shared" si="0"/>
        <v>0</v>
      </c>
      <c r="N15" s="18" t="s">
        <v>39</v>
      </c>
    </row>
    <row r="16" spans="1:24">
      <c r="A16" s="2">
        <v>1</v>
      </c>
      <c r="B16" s="2">
        <v>1</v>
      </c>
      <c r="C16" s="2">
        <v>3</v>
      </c>
      <c r="D16" s="2">
        <v>1</v>
      </c>
      <c r="E16" s="2">
        <v>2</v>
      </c>
      <c r="F16" s="2">
        <v>1</v>
      </c>
      <c r="G16" s="2">
        <v>1</v>
      </c>
      <c r="H16" s="2">
        <v>1</v>
      </c>
      <c r="I16" s="2">
        <v>1</v>
      </c>
      <c r="J16" s="2">
        <v>2</v>
      </c>
      <c r="K16" s="2" t="b">
        <f t="shared" si="0"/>
        <v>0</v>
      </c>
      <c r="M16" s="11" t="s">
        <v>42</v>
      </c>
      <c r="S16" s="17" t="s">
        <v>25</v>
      </c>
      <c r="T16" s="23">
        <f>COUNTIF($K$360:$K$363, "=TRUE")/COUNTA($K$360:$K$363)</f>
        <v>0</v>
      </c>
    </row>
    <row r="17" spans="1:22">
      <c r="A17" s="2">
        <v>3</v>
      </c>
      <c r="B17" s="2">
        <v>1</v>
      </c>
      <c r="C17" s="2">
        <v>1</v>
      </c>
      <c r="D17" s="2">
        <v>1</v>
      </c>
      <c r="E17" s="2">
        <v>1</v>
      </c>
      <c r="F17" s="2">
        <v>1</v>
      </c>
      <c r="G17" s="2">
        <v>2</v>
      </c>
      <c r="H17" s="2">
        <v>1</v>
      </c>
      <c r="I17" s="2">
        <v>1</v>
      </c>
      <c r="J17" s="2">
        <v>2</v>
      </c>
      <c r="K17" s="2" t="b">
        <f t="shared" si="0"/>
        <v>0</v>
      </c>
      <c r="N17" s="18" t="s">
        <v>39</v>
      </c>
    </row>
    <row r="18" spans="1:22">
      <c r="A18" s="2">
        <v>2</v>
      </c>
      <c r="B18" s="2">
        <v>1</v>
      </c>
      <c r="C18" s="2">
        <v>1</v>
      </c>
      <c r="D18" s="2">
        <v>1</v>
      </c>
      <c r="E18" s="2">
        <v>2</v>
      </c>
      <c r="F18" s="2">
        <v>1</v>
      </c>
      <c r="G18" s="2">
        <v>3</v>
      </c>
      <c r="H18" s="2">
        <v>1</v>
      </c>
      <c r="I18" s="2">
        <v>1</v>
      </c>
      <c r="J18" s="2">
        <v>2</v>
      </c>
      <c r="K18" s="2" t="b">
        <f t="shared" si="0"/>
        <v>0</v>
      </c>
      <c r="M18" s="11" t="s">
        <v>44</v>
      </c>
      <c r="S18" s="17" t="s">
        <v>25</v>
      </c>
      <c r="T18" s="24">
        <f>COUNTIF($K$364:$K$372, "=TRUE")/COUNTA($K$364:$K$372)</f>
        <v>0.22222222222222221</v>
      </c>
    </row>
    <row r="19" spans="1:22">
      <c r="A19" s="2">
        <v>2</v>
      </c>
      <c r="B19" s="2">
        <v>1</v>
      </c>
      <c r="C19" s="2">
        <v>1</v>
      </c>
      <c r="D19" s="2">
        <v>2</v>
      </c>
      <c r="E19" s="2">
        <v>2</v>
      </c>
      <c r="F19" s="2">
        <v>1</v>
      </c>
      <c r="G19" s="2">
        <v>3</v>
      </c>
      <c r="H19" s="2">
        <v>1</v>
      </c>
      <c r="I19" s="2">
        <v>1</v>
      </c>
      <c r="J19" s="2">
        <v>2</v>
      </c>
      <c r="K19" s="2" t="b">
        <f t="shared" si="0"/>
        <v>0</v>
      </c>
      <c r="M19" t="s">
        <v>18</v>
      </c>
      <c r="N19" s="15">
        <f>infoGain(A$364:A$372,$K$364:$K$372)</f>
        <v>0.76420450650862026</v>
      </c>
      <c r="O19" s="13">
        <f t="shared" ref="O19:V19" si="3">infoGain(B$364:B$372,$K$364:$K$372)</f>
        <v>0</v>
      </c>
      <c r="P19" s="13">
        <f t="shared" si="3"/>
        <v>0.3040145676112545</v>
      </c>
      <c r="Q19" s="13">
        <f t="shared" si="3"/>
        <v>0.3040145676112545</v>
      </c>
      <c r="R19" s="13">
        <f t="shared" si="3"/>
        <v>0.54198228428639805</v>
      </c>
      <c r="S19" s="13">
        <f t="shared" si="3"/>
        <v>0</v>
      </c>
      <c r="T19" s="13">
        <f t="shared" si="3"/>
        <v>0.23588367293490153</v>
      </c>
      <c r="U19" s="13">
        <f t="shared" si="3"/>
        <v>0.28103611255342348</v>
      </c>
      <c r="V19" s="13">
        <f t="shared" si="3"/>
        <v>0</v>
      </c>
    </row>
    <row r="20" spans="1:22">
      <c r="A20" s="2">
        <v>3</v>
      </c>
      <c r="B20" s="2">
        <v>1</v>
      </c>
      <c r="C20" s="2">
        <v>2</v>
      </c>
      <c r="D20" s="2">
        <v>1</v>
      </c>
      <c r="E20" s="2">
        <v>2</v>
      </c>
      <c r="F20" s="2">
        <v>1</v>
      </c>
      <c r="G20" s="2">
        <v>2</v>
      </c>
      <c r="H20" s="2">
        <v>1</v>
      </c>
      <c r="I20" s="2">
        <v>1</v>
      </c>
      <c r="J20" s="2">
        <v>2</v>
      </c>
      <c r="K20" s="2" t="b">
        <f t="shared" si="0"/>
        <v>0</v>
      </c>
      <c r="M20" s="18" t="s">
        <v>35</v>
      </c>
      <c r="N20" s="18" t="str">
        <f>INDEX($N$2:$V$2,MATCH(MAX($N19:$V19),$N19:$V19,0))</f>
        <v>clump_thickness</v>
      </c>
    </row>
    <row r="21" spans="1:22">
      <c r="A21" s="2">
        <v>2</v>
      </c>
      <c r="B21" s="2">
        <v>1</v>
      </c>
      <c r="C21" s="2">
        <v>1</v>
      </c>
      <c r="D21" s="2">
        <v>1</v>
      </c>
      <c r="E21" s="2">
        <v>2</v>
      </c>
      <c r="F21" s="2">
        <v>1</v>
      </c>
      <c r="G21" s="2">
        <v>2</v>
      </c>
      <c r="H21" s="2">
        <v>1</v>
      </c>
      <c r="I21" s="2">
        <v>1</v>
      </c>
      <c r="J21" s="2">
        <v>2</v>
      </c>
      <c r="K21" s="2" t="b">
        <f t="shared" si="0"/>
        <v>0</v>
      </c>
      <c r="M21" s="11" t="s">
        <v>46</v>
      </c>
      <c r="S21" s="17" t="s">
        <v>25</v>
      </c>
      <c r="T21" s="23">
        <f>COUNTIF($K$364:$K$366, "=TRUE")/COUNTA($K$36:$K$364)</f>
        <v>0</v>
      </c>
    </row>
    <row r="22" spans="1:22">
      <c r="A22" s="2">
        <v>1</v>
      </c>
      <c r="B22" s="2">
        <v>1</v>
      </c>
      <c r="C22" s="2">
        <v>1</v>
      </c>
      <c r="D22" s="2">
        <v>1</v>
      </c>
      <c r="E22" s="2">
        <v>2</v>
      </c>
      <c r="F22" s="2">
        <v>1</v>
      </c>
      <c r="G22" s="2">
        <v>2</v>
      </c>
      <c r="H22" s="2">
        <v>1</v>
      </c>
      <c r="I22" s="2">
        <v>2</v>
      </c>
      <c r="J22" s="2">
        <v>2</v>
      </c>
      <c r="K22" s="2" t="b">
        <f t="shared" si="0"/>
        <v>0</v>
      </c>
      <c r="N22" s="18" t="s">
        <v>39</v>
      </c>
    </row>
    <row r="23" spans="1:22">
      <c r="A23" s="2">
        <v>1</v>
      </c>
      <c r="B23" s="2">
        <v>1</v>
      </c>
      <c r="C23" s="2">
        <v>1</v>
      </c>
      <c r="D23" s="2">
        <v>1</v>
      </c>
      <c r="E23" s="2">
        <v>2</v>
      </c>
      <c r="F23" s="2">
        <v>1</v>
      </c>
      <c r="G23" s="2">
        <v>2</v>
      </c>
      <c r="H23" s="2">
        <v>1</v>
      </c>
      <c r="I23" s="2">
        <v>1</v>
      </c>
      <c r="J23" s="2">
        <v>2</v>
      </c>
      <c r="K23" s="2" t="b">
        <f t="shared" si="0"/>
        <v>0</v>
      </c>
      <c r="M23" s="11" t="s">
        <v>47</v>
      </c>
      <c r="S23" s="17" t="s">
        <v>25</v>
      </c>
      <c r="T23" s="23">
        <f>COUNTIF($K$367:$K$367, "=TRUE")/COUNTA($K$367:$K$367)</f>
        <v>0</v>
      </c>
    </row>
    <row r="24" spans="1:22">
      <c r="A24" s="2">
        <v>4</v>
      </c>
      <c r="B24" s="2">
        <v>1</v>
      </c>
      <c r="C24" s="2">
        <v>1</v>
      </c>
      <c r="D24" s="2">
        <v>3</v>
      </c>
      <c r="E24" s="2">
        <v>2</v>
      </c>
      <c r="F24" s="2">
        <v>1</v>
      </c>
      <c r="G24" s="2">
        <v>3</v>
      </c>
      <c r="H24" s="2">
        <v>1</v>
      </c>
      <c r="I24" s="2">
        <v>1</v>
      </c>
      <c r="J24" s="2">
        <v>2</v>
      </c>
      <c r="K24" s="2" t="b">
        <f t="shared" si="0"/>
        <v>0</v>
      </c>
      <c r="N24" s="18" t="s">
        <v>39</v>
      </c>
    </row>
    <row r="25" spans="1:22">
      <c r="A25" s="2">
        <v>1</v>
      </c>
      <c r="B25" s="2">
        <v>1</v>
      </c>
      <c r="C25" s="2">
        <v>1</v>
      </c>
      <c r="D25" s="2">
        <v>1</v>
      </c>
      <c r="E25" s="2">
        <v>2</v>
      </c>
      <c r="F25" s="2">
        <v>1</v>
      </c>
      <c r="G25" s="2">
        <v>2</v>
      </c>
      <c r="H25" s="2">
        <v>1</v>
      </c>
      <c r="I25" s="2">
        <v>1</v>
      </c>
      <c r="J25" s="2">
        <v>2</v>
      </c>
      <c r="K25" s="2" t="b">
        <f t="shared" si="0"/>
        <v>0</v>
      </c>
      <c r="M25" s="11" t="s">
        <v>48</v>
      </c>
      <c r="S25" s="17" t="s">
        <v>25</v>
      </c>
      <c r="T25" s="23">
        <f>COUNTIF($K$368:$K$369, "=TRUE")/COUNTA($K$368:$K$369)</f>
        <v>0</v>
      </c>
    </row>
    <row r="26" spans="1:22">
      <c r="A26" s="2">
        <v>4</v>
      </c>
      <c r="B26" s="2">
        <v>1</v>
      </c>
      <c r="C26" s="2">
        <v>1</v>
      </c>
      <c r="D26" s="2">
        <v>1</v>
      </c>
      <c r="E26" s="2">
        <v>2</v>
      </c>
      <c r="F26" s="2">
        <v>1</v>
      </c>
      <c r="G26" s="2">
        <v>3</v>
      </c>
      <c r="H26" s="2">
        <v>1</v>
      </c>
      <c r="I26" s="2">
        <v>1</v>
      </c>
      <c r="J26" s="2">
        <v>2</v>
      </c>
      <c r="K26" s="2" t="b">
        <f t="shared" si="0"/>
        <v>0</v>
      </c>
      <c r="N26" s="18" t="s">
        <v>39</v>
      </c>
    </row>
    <row r="27" spans="1:22">
      <c r="A27" s="2">
        <v>1</v>
      </c>
      <c r="B27" s="2">
        <v>1</v>
      </c>
      <c r="C27" s="2">
        <v>1</v>
      </c>
      <c r="D27" s="2">
        <v>1</v>
      </c>
      <c r="E27" s="2">
        <v>2</v>
      </c>
      <c r="F27" s="2">
        <v>1</v>
      </c>
      <c r="G27" s="2">
        <v>3</v>
      </c>
      <c r="H27" s="2">
        <v>2</v>
      </c>
      <c r="I27" s="2">
        <v>1</v>
      </c>
      <c r="J27" s="2">
        <v>2</v>
      </c>
      <c r="K27" s="2" t="b">
        <f t="shared" si="0"/>
        <v>0</v>
      </c>
      <c r="M27" s="11" t="s">
        <v>49</v>
      </c>
      <c r="S27" s="17" t="s">
        <v>25</v>
      </c>
      <c r="T27" s="23">
        <f>COUNTIF($K$370:$K$370, "=TRUE")/COUNTA($K$370:$K$370)</f>
        <v>1</v>
      </c>
    </row>
    <row r="28" spans="1:22">
      <c r="A28" s="2">
        <v>5</v>
      </c>
      <c r="B28" s="2">
        <v>1</v>
      </c>
      <c r="C28" s="2">
        <v>3</v>
      </c>
      <c r="D28" s="2">
        <v>1</v>
      </c>
      <c r="E28" s="2">
        <v>2</v>
      </c>
      <c r="F28" s="2">
        <v>1</v>
      </c>
      <c r="G28" s="2">
        <v>2</v>
      </c>
      <c r="H28" s="2">
        <v>1</v>
      </c>
      <c r="I28" s="2">
        <v>1</v>
      </c>
      <c r="J28" s="2">
        <v>2</v>
      </c>
      <c r="K28" s="2" t="b">
        <f t="shared" si="0"/>
        <v>0</v>
      </c>
      <c r="N28" s="18" t="s">
        <v>26</v>
      </c>
    </row>
    <row r="29" spans="1:22">
      <c r="A29" s="2">
        <v>1</v>
      </c>
      <c r="B29" s="2">
        <v>1</v>
      </c>
      <c r="C29" s="2">
        <v>4</v>
      </c>
      <c r="D29" s="2">
        <v>1</v>
      </c>
      <c r="E29" s="2">
        <v>2</v>
      </c>
      <c r="F29" s="2">
        <v>1</v>
      </c>
      <c r="G29" s="2">
        <v>2</v>
      </c>
      <c r="H29" s="2">
        <v>1</v>
      </c>
      <c r="I29" s="2">
        <v>1</v>
      </c>
      <c r="J29" s="2">
        <v>2</v>
      </c>
      <c r="K29" s="2" t="b">
        <f t="shared" si="0"/>
        <v>0</v>
      </c>
      <c r="M29" s="11" t="s">
        <v>50</v>
      </c>
      <c r="S29" s="17" t="s">
        <v>25</v>
      </c>
      <c r="T29" s="23">
        <f>COUNTIF($K$371:$K$371, "=TRUE")/COUNTA($K$371:$K$371)</f>
        <v>0</v>
      </c>
    </row>
    <row r="30" spans="1:22">
      <c r="A30" s="2">
        <v>2</v>
      </c>
      <c r="B30" s="2">
        <v>1</v>
      </c>
      <c r="C30" s="2">
        <v>1</v>
      </c>
      <c r="D30" s="2">
        <v>1</v>
      </c>
      <c r="E30" s="2">
        <v>3</v>
      </c>
      <c r="F30" s="2">
        <v>1</v>
      </c>
      <c r="G30" s="2">
        <v>2</v>
      </c>
      <c r="H30" s="2">
        <v>1</v>
      </c>
      <c r="I30" s="2">
        <v>1</v>
      </c>
      <c r="J30" s="2">
        <v>2</v>
      </c>
      <c r="K30" s="2" t="b">
        <f t="shared" si="0"/>
        <v>0</v>
      </c>
      <c r="N30" s="18" t="s">
        <v>39</v>
      </c>
    </row>
    <row r="31" spans="1:22">
      <c r="A31" s="2">
        <v>4</v>
      </c>
      <c r="B31" s="2">
        <v>1</v>
      </c>
      <c r="C31" s="2">
        <v>1</v>
      </c>
      <c r="D31" s="2">
        <v>2</v>
      </c>
      <c r="E31" s="2">
        <v>2</v>
      </c>
      <c r="F31" s="2">
        <v>1</v>
      </c>
      <c r="G31" s="2">
        <v>2</v>
      </c>
      <c r="H31" s="2">
        <v>1</v>
      </c>
      <c r="I31" s="2">
        <v>1</v>
      </c>
      <c r="J31" s="2">
        <v>2</v>
      </c>
      <c r="K31" s="2" t="b">
        <f t="shared" si="0"/>
        <v>0</v>
      </c>
      <c r="M31" s="11" t="s">
        <v>51</v>
      </c>
      <c r="S31" s="17" t="s">
        <v>25</v>
      </c>
      <c r="T31" s="23">
        <f>COUNTIF($K$372:$K$372, "=TRUE")/COUNTA($K$372:$K$372)</f>
        <v>1</v>
      </c>
    </row>
    <row r="32" spans="1:22">
      <c r="A32" s="2">
        <v>4</v>
      </c>
      <c r="B32" s="2">
        <v>1</v>
      </c>
      <c r="C32" s="2">
        <v>1</v>
      </c>
      <c r="D32" s="2">
        <v>1</v>
      </c>
      <c r="E32" s="2">
        <v>2</v>
      </c>
      <c r="F32" s="2">
        <v>1</v>
      </c>
      <c r="G32" s="2">
        <v>3</v>
      </c>
      <c r="H32" s="2">
        <v>1</v>
      </c>
      <c r="I32" s="2">
        <v>1</v>
      </c>
      <c r="J32" s="2">
        <v>2</v>
      </c>
      <c r="K32" s="2" t="b">
        <f t="shared" si="0"/>
        <v>0</v>
      </c>
      <c r="N32" s="18" t="s">
        <v>26</v>
      </c>
    </row>
    <row r="33" spans="1:22">
      <c r="A33" s="2">
        <v>2</v>
      </c>
      <c r="B33" s="2">
        <v>1</v>
      </c>
      <c r="C33" s="2">
        <v>1</v>
      </c>
      <c r="D33" s="2">
        <v>2</v>
      </c>
      <c r="E33" s="2">
        <v>3</v>
      </c>
      <c r="F33" s="2">
        <v>1</v>
      </c>
      <c r="G33" s="2">
        <v>2</v>
      </c>
      <c r="H33" s="2">
        <v>1</v>
      </c>
      <c r="I33" s="2">
        <v>1</v>
      </c>
      <c r="J33" s="2">
        <v>2</v>
      </c>
      <c r="K33" s="2" t="b">
        <f t="shared" si="0"/>
        <v>0</v>
      </c>
      <c r="M33" s="11" t="s">
        <v>43</v>
      </c>
      <c r="S33" s="17" t="s">
        <v>25</v>
      </c>
      <c r="T33" s="24">
        <f>COUNTIF($K$373:$K$375, "=TRUE")/COUNTA($K$373:$K$375)</f>
        <v>0.66666666666666663</v>
      </c>
    </row>
    <row r="34" spans="1:22">
      <c r="A34" s="2">
        <v>1</v>
      </c>
      <c r="B34" s="2">
        <v>1</v>
      </c>
      <c r="C34" s="2">
        <v>1</v>
      </c>
      <c r="D34" s="2">
        <v>1</v>
      </c>
      <c r="E34" s="2">
        <v>2</v>
      </c>
      <c r="F34" s="2">
        <v>1</v>
      </c>
      <c r="G34" s="2">
        <v>3</v>
      </c>
      <c r="H34" s="2">
        <v>1</v>
      </c>
      <c r="I34" s="2">
        <v>1</v>
      </c>
      <c r="J34" s="2">
        <v>2</v>
      </c>
      <c r="K34" s="2" t="b">
        <f t="shared" si="0"/>
        <v>0</v>
      </c>
      <c r="M34" t="s">
        <v>18</v>
      </c>
      <c r="N34" s="15">
        <f>infoGain(A$373:A$375,$K$373:$K$375)</f>
        <v>0.91829583405448956</v>
      </c>
      <c r="O34" s="25">
        <f t="shared" ref="O34:V34" si="4">infoGain(B$373:B$375,$K$373:$K$375)</f>
        <v>0</v>
      </c>
      <c r="P34" s="25">
        <f t="shared" si="4"/>
        <v>0.25162916738782293</v>
      </c>
      <c r="Q34" s="25">
        <f t="shared" si="4"/>
        <v>0.25162916738782293</v>
      </c>
      <c r="R34" s="25">
        <f t="shared" si="4"/>
        <v>0.25162916738782293</v>
      </c>
      <c r="S34" s="25">
        <f t="shared" si="4"/>
        <v>0</v>
      </c>
      <c r="T34" s="25">
        <f t="shared" si="4"/>
        <v>0.91829583405448956</v>
      </c>
      <c r="U34" s="25">
        <f t="shared" si="4"/>
        <v>0.91829583405448956</v>
      </c>
      <c r="V34" s="25">
        <f t="shared" si="4"/>
        <v>0.25162916738782293</v>
      </c>
    </row>
    <row r="35" spans="1:22">
      <c r="A35" s="2">
        <v>3</v>
      </c>
      <c r="B35" s="2">
        <v>1</v>
      </c>
      <c r="C35" s="2">
        <v>1</v>
      </c>
      <c r="D35" s="2">
        <v>2</v>
      </c>
      <c r="E35" s="2">
        <v>2</v>
      </c>
      <c r="F35" s="2">
        <v>1</v>
      </c>
      <c r="G35" s="2">
        <v>1</v>
      </c>
      <c r="H35" s="2">
        <v>1</v>
      </c>
      <c r="I35" s="2">
        <v>1</v>
      </c>
      <c r="J35" s="2">
        <v>2</v>
      </c>
      <c r="K35" s="2" t="b">
        <f t="shared" si="0"/>
        <v>0</v>
      </c>
      <c r="M35" s="18" t="s">
        <v>35</v>
      </c>
      <c r="N35" s="18" t="str">
        <f>INDEX($N$2:$V$2,MATCH(MAX($N34:$V34),$N34:$V34,0))</f>
        <v>clump_thickness</v>
      </c>
    </row>
    <row r="36" spans="1:22">
      <c r="A36" s="2">
        <v>4</v>
      </c>
      <c r="B36" s="2">
        <v>1</v>
      </c>
      <c r="C36" s="2">
        <v>1</v>
      </c>
      <c r="D36" s="2">
        <v>1</v>
      </c>
      <c r="E36" s="2">
        <v>2</v>
      </c>
      <c r="F36" s="2">
        <v>1</v>
      </c>
      <c r="G36" s="2">
        <v>3</v>
      </c>
      <c r="H36" s="2">
        <v>1</v>
      </c>
      <c r="I36" s="2">
        <v>1</v>
      </c>
      <c r="J36" s="2">
        <v>2</v>
      </c>
      <c r="K36" s="2" t="b">
        <f t="shared" si="0"/>
        <v>0</v>
      </c>
      <c r="M36" s="11" t="s">
        <v>46</v>
      </c>
      <c r="S36" s="17" t="s">
        <v>25</v>
      </c>
      <c r="T36" s="23">
        <f>COUNTIF($K$373:$K$373, "=TRUE")/COUNTA($K$373:$K$373)</f>
        <v>0</v>
      </c>
    </row>
    <row r="37" spans="1:22">
      <c r="A37" s="2">
        <v>1</v>
      </c>
      <c r="B37" s="2">
        <v>1</v>
      </c>
      <c r="C37" s="2">
        <v>1</v>
      </c>
      <c r="D37" s="2">
        <v>1</v>
      </c>
      <c r="E37" s="2">
        <v>2</v>
      </c>
      <c r="F37" s="2">
        <v>1</v>
      </c>
      <c r="G37" s="2">
        <v>2</v>
      </c>
      <c r="H37" s="2">
        <v>1</v>
      </c>
      <c r="I37" s="2">
        <v>1</v>
      </c>
      <c r="J37" s="2">
        <v>2</v>
      </c>
      <c r="K37" s="2" t="b">
        <f t="shared" si="0"/>
        <v>0</v>
      </c>
      <c r="N37" s="18" t="s">
        <v>39</v>
      </c>
    </row>
    <row r="38" spans="1:22">
      <c r="A38" s="2">
        <v>2</v>
      </c>
      <c r="B38" s="2">
        <v>1</v>
      </c>
      <c r="C38" s="2">
        <v>1</v>
      </c>
      <c r="D38" s="2">
        <v>1</v>
      </c>
      <c r="E38" s="2">
        <v>2</v>
      </c>
      <c r="F38" s="2">
        <v>1</v>
      </c>
      <c r="G38" s="2">
        <v>3</v>
      </c>
      <c r="H38" s="2">
        <v>1</v>
      </c>
      <c r="I38" s="2">
        <v>1</v>
      </c>
      <c r="J38" s="2">
        <v>2</v>
      </c>
      <c r="K38" s="2" t="b">
        <f t="shared" si="0"/>
        <v>0</v>
      </c>
      <c r="M38" s="11" t="s">
        <v>52</v>
      </c>
      <c r="S38" s="17" t="s">
        <v>25</v>
      </c>
      <c r="T38" s="23">
        <f>COUNTIF($K$374:$K$374, "=TRUE")/COUNTA($K$374:$K$374)</f>
        <v>1</v>
      </c>
    </row>
    <row r="39" spans="1:22">
      <c r="A39" s="2">
        <v>1</v>
      </c>
      <c r="B39" s="2">
        <v>1</v>
      </c>
      <c r="C39" s="2">
        <v>1</v>
      </c>
      <c r="D39" s="2">
        <v>1</v>
      </c>
      <c r="E39" s="2">
        <v>2</v>
      </c>
      <c r="F39" s="2">
        <v>1</v>
      </c>
      <c r="G39" s="2">
        <v>3</v>
      </c>
      <c r="H39" s="2">
        <v>1</v>
      </c>
      <c r="I39" s="2">
        <v>1</v>
      </c>
      <c r="J39" s="2">
        <v>2</v>
      </c>
      <c r="K39" s="2" t="b">
        <f t="shared" si="0"/>
        <v>0</v>
      </c>
      <c r="N39" s="18" t="s">
        <v>26</v>
      </c>
    </row>
    <row r="40" spans="1:22">
      <c r="A40" s="2">
        <v>2</v>
      </c>
      <c r="B40" s="2">
        <v>1</v>
      </c>
      <c r="C40" s="2">
        <v>1</v>
      </c>
      <c r="D40" s="2">
        <v>2</v>
      </c>
      <c r="E40" s="2">
        <v>2</v>
      </c>
      <c r="F40" s="2">
        <v>1</v>
      </c>
      <c r="G40" s="2">
        <v>1</v>
      </c>
      <c r="H40" s="2">
        <v>1</v>
      </c>
      <c r="I40" s="2">
        <v>1</v>
      </c>
      <c r="J40" s="2">
        <v>2</v>
      </c>
      <c r="K40" s="2" t="b">
        <f t="shared" si="0"/>
        <v>0</v>
      </c>
      <c r="M40" s="11" t="s">
        <v>53</v>
      </c>
      <c r="S40" s="17" t="s">
        <v>25</v>
      </c>
      <c r="T40" s="23">
        <f>COUNTIF($K$375:$K$375, "=TRUE")/COUNTA($K$375:$K$375)</f>
        <v>1</v>
      </c>
    </row>
    <row r="41" spans="1:22">
      <c r="A41" s="2">
        <v>5</v>
      </c>
      <c r="B41" s="2">
        <v>1</v>
      </c>
      <c r="C41" s="2">
        <v>1</v>
      </c>
      <c r="D41" s="2">
        <v>1</v>
      </c>
      <c r="E41" s="2">
        <v>2</v>
      </c>
      <c r="F41" s="2">
        <v>1</v>
      </c>
      <c r="G41" s="2">
        <v>3</v>
      </c>
      <c r="H41" s="2">
        <v>1</v>
      </c>
      <c r="I41" s="2">
        <v>1</v>
      </c>
      <c r="J41" s="2">
        <v>2</v>
      </c>
      <c r="K41" s="2" t="b">
        <f t="shared" si="0"/>
        <v>0</v>
      </c>
      <c r="N41" s="18" t="s">
        <v>26</v>
      </c>
    </row>
    <row r="42" spans="1:22">
      <c r="A42" s="2">
        <v>4</v>
      </c>
      <c r="B42" s="2">
        <v>1</v>
      </c>
      <c r="C42" s="2">
        <v>2</v>
      </c>
      <c r="D42" s="2">
        <v>1</v>
      </c>
      <c r="E42" s="2">
        <v>2</v>
      </c>
      <c r="F42" s="2">
        <v>1</v>
      </c>
      <c r="G42" s="2">
        <v>3</v>
      </c>
      <c r="H42" s="2">
        <v>1</v>
      </c>
      <c r="I42" s="2">
        <v>1</v>
      </c>
      <c r="J42" s="2">
        <v>2</v>
      </c>
      <c r="K42" s="2" t="b">
        <f t="shared" si="0"/>
        <v>0</v>
      </c>
    </row>
    <row r="43" spans="1:22">
      <c r="A43" s="2">
        <v>1</v>
      </c>
      <c r="B43" s="2">
        <v>1</v>
      </c>
      <c r="C43" s="2">
        <v>1</v>
      </c>
      <c r="D43" s="2">
        <v>1</v>
      </c>
      <c r="E43" s="2">
        <v>2</v>
      </c>
      <c r="F43" s="2">
        <v>1</v>
      </c>
      <c r="G43" s="2">
        <v>2</v>
      </c>
      <c r="H43" s="2">
        <v>3</v>
      </c>
      <c r="I43" s="2">
        <v>1</v>
      </c>
      <c r="J43" s="2">
        <v>2</v>
      </c>
      <c r="K43" s="2" t="b">
        <f t="shared" si="0"/>
        <v>0</v>
      </c>
      <c r="M43" s="11" t="s">
        <v>28</v>
      </c>
      <c r="S43" s="17" t="s">
        <v>25</v>
      </c>
      <c r="T43" s="18">
        <f>COUNTIF($K$387:$K$431, "=TRUE")/COUNTA($K$387:$K$431)</f>
        <v>0.17777777777777778</v>
      </c>
    </row>
    <row r="44" spans="1:22">
      <c r="A44" s="2">
        <v>1</v>
      </c>
      <c r="B44" s="2">
        <v>1</v>
      </c>
      <c r="C44" s="2">
        <v>2</v>
      </c>
      <c r="D44" s="2">
        <v>2</v>
      </c>
      <c r="E44" s="2">
        <v>2</v>
      </c>
      <c r="F44" s="2">
        <v>1</v>
      </c>
      <c r="G44" s="2">
        <v>3</v>
      </c>
      <c r="H44" s="2">
        <v>1</v>
      </c>
      <c r="I44" s="2">
        <v>1</v>
      </c>
      <c r="J44" s="2">
        <v>2</v>
      </c>
      <c r="K44" s="2" t="b">
        <f t="shared" si="0"/>
        <v>0</v>
      </c>
      <c r="M44" t="s">
        <v>18</v>
      </c>
      <c r="N44" s="14">
        <f>infoGain(A$387:A$431,$K$387:$K$431)</f>
        <v>0.35472433471766679</v>
      </c>
      <c r="O44" s="14">
        <f t="shared" ref="O44:V44" si="5">infoGain(B$387:B$431,$K$387:$K$431)</f>
        <v>0</v>
      </c>
      <c r="P44" s="14">
        <f t="shared" si="5"/>
        <v>0.26393086899609719</v>
      </c>
      <c r="Q44" s="14">
        <f t="shared" si="5"/>
        <v>0.15675257647784147</v>
      </c>
      <c r="R44" s="14">
        <f t="shared" si="5"/>
        <v>0.33177978980238249</v>
      </c>
      <c r="S44" s="16">
        <f t="shared" si="5"/>
        <v>0.42789687890362621</v>
      </c>
      <c r="T44" s="14">
        <f t="shared" si="5"/>
        <v>0.310379584104852</v>
      </c>
      <c r="U44" s="14">
        <f t="shared" si="5"/>
        <v>0.29477919256141805</v>
      </c>
      <c r="V44" s="14">
        <f t="shared" si="5"/>
        <v>0.13080332392037552</v>
      </c>
    </row>
    <row r="45" spans="1:22">
      <c r="A45" s="2">
        <v>1</v>
      </c>
      <c r="B45" s="2">
        <v>1</v>
      </c>
      <c r="C45" s="2">
        <v>1</v>
      </c>
      <c r="D45" s="2">
        <v>1</v>
      </c>
      <c r="E45" s="2">
        <v>2</v>
      </c>
      <c r="F45" s="2">
        <v>1</v>
      </c>
      <c r="G45" s="2">
        <v>2</v>
      </c>
      <c r="H45" s="2">
        <v>1</v>
      </c>
      <c r="I45" s="2">
        <v>1</v>
      </c>
      <c r="J45" s="2">
        <v>2</v>
      </c>
      <c r="K45" s="2" t="b">
        <f t="shared" si="0"/>
        <v>0</v>
      </c>
      <c r="M45" s="18" t="s">
        <v>35</v>
      </c>
      <c r="N45" s="18" t="str">
        <f>INDEX($N$2:$V$2,MATCH(MAX($N44:$V44),$N44:$V44,0))</f>
        <v xml:space="preserve"> bare_nucleoli</v>
      </c>
    </row>
    <row r="46" spans="1:22">
      <c r="A46" s="2">
        <v>3</v>
      </c>
      <c r="B46" s="2">
        <v>1</v>
      </c>
      <c r="C46" s="2">
        <v>1</v>
      </c>
      <c r="D46" s="2">
        <v>1</v>
      </c>
      <c r="E46" s="2">
        <v>2</v>
      </c>
      <c r="F46" s="2">
        <v>1</v>
      </c>
      <c r="G46" s="2">
        <v>3</v>
      </c>
      <c r="H46" s="2">
        <v>1</v>
      </c>
      <c r="I46" s="2">
        <v>1</v>
      </c>
      <c r="J46" s="2">
        <v>2</v>
      </c>
      <c r="K46" s="2" t="b">
        <f t="shared" si="0"/>
        <v>0</v>
      </c>
      <c r="M46" s="11" t="s">
        <v>54</v>
      </c>
      <c r="S46" s="17" t="s">
        <v>25</v>
      </c>
      <c r="T46" s="18">
        <f>COUNTIF($K$387:$K$417, "=TRUE")/COUNTA($K$387:$K$417)</f>
        <v>3.2258064516129031E-2</v>
      </c>
    </row>
    <row r="47" spans="1:22">
      <c r="A47" s="2">
        <v>1</v>
      </c>
      <c r="B47" s="2">
        <v>1</v>
      </c>
      <c r="C47" s="2">
        <v>1</v>
      </c>
      <c r="D47" s="2">
        <v>1</v>
      </c>
      <c r="E47" s="2">
        <v>10</v>
      </c>
      <c r="F47" s="2">
        <v>1</v>
      </c>
      <c r="G47" s="2">
        <v>1</v>
      </c>
      <c r="H47" s="2">
        <v>1</v>
      </c>
      <c r="I47" s="2">
        <v>1</v>
      </c>
      <c r="J47" s="2">
        <v>2</v>
      </c>
      <c r="K47" s="2" t="b">
        <f t="shared" si="0"/>
        <v>0</v>
      </c>
      <c r="M47" t="s">
        <v>18</v>
      </c>
      <c r="N47" s="14">
        <f>infoGain(A$387:A$417,$K$387:$K$417)</f>
        <v>0.14107637915282498</v>
      </c>
      <c r="O47" s="14">
        <f t="shared" ref="O47:V47" si="6">infoGain(B$387:B$417,$K$387:$K$417)</f>
        <v>0</v>
      </c>
      <c r="P47" s="14">
        <f t="shared" si="6"/>
        <v>0.14107637915282498</v>
      </c>
      <c r="Q47" s="14">
        <f t="shared" si="6"/>
        <v>1.8492379778414642E-2</v>
      </c>
      <c r="R47" s="14">
        <f t="shared" si="6"/>
        <v>0.14107637915282498</v>
      </c>
      <c r="S47" s="14">
        <f t="shared" si="6"/>
        <v>0</v>
      </c>
      <c r="T47" s="16">
        <f t="shared" si="6"/>
        <v>0.20559250818508304</v>
      </c>
      <c r="U47" s="14">
        <f t="shared" si="6"/>
        <v>0.20559250818508304</v>
      </c>
      <c r="V47" s="14">
        <f t="shared" si="6"/>
        <v>0.20559250818508304</v>
      </c>
    </row>
    <row r="48" spans="1:22">
      <c r="A48" s="2">
        <v>5</v>
      </c>
      <c r="B48" s="2">
        <v>1</v>
      </c>
      <c r="C48" s="2">
        <v>3</v>
      </c>
      <c r="D48" s="2">
        <v>1</v>
      </c>
      <c r="E48" s="2">
        <v>2</v>
      </c>
      <c r="F48" s="2">
        <v>1</v>
      </c>
      <c r="G48" s="2">
        <v>2</v>
      </c>
      <c r="H48" s="2">
        <v>1</v>
      </c>
      <c r="I48" s="2">
        <v>1</v>
      </c>
      <c r="J48" s="2">
        <v>2</v>
      </c>
      <c r="K48" s="2" t="b">
        <f t="shared" si="0"/>
        <v>0</v>
      </c>
      <c r="M48" s="18" t="s">
        <v>35</v>
      </c>
      <c r="N48" s="18" t="str">
        <f>INDEX($N$2:$V$2,MATCH(MAX($N47:$V47),$N47:$V47,0))</f>
        <v xml:space="preserve"> bland_chromatin</v>
      </c>
    </row>
    <row r="49" spans="1:22">
      <c r="A49" s="2">
        <v>2</v>
      </c>
      <c r="B49" s="2">
        <v>1</v>
      </c>
      <c r="C49" s="2">
        <v>1</v>
      </c>
      <c r="D49" s="2">
        <v>1</v>
      </c>
      <c r="E49" s="2">
        <v>2</v>
      </c>
      <c r="F49" s="2">
        <v>1</v>
      </c>
      <c r="G49" s="2">
        <v>3</v>
      </c>
      <c r="H49" s="2">
        <v>1</v>
      </c>
      <c r="I49" s="2">
        <v>1</v>
      </c>
      <c r="J49" s="2">
        <v>2</v>
      </c>
      <c r="K49" s="2" t="b">
        <f t="shared" si="0"/>
        <v>0</v>
      </c>
      <c r="M49" s="11" t="s">
        <v>62</v>
      </c>
      <c r="S49" s="17" t="s">
        <v>25</v>
      </c>
      <c r="T49" s="23">
        <f>COUNTIF($K$387:$K$398, "=TRUE")/COUNTA($K$387:$K$398)</f>
        <v>0</v>
      </c>
    </row>
    <row r="50" spans="1:22">
      <c r="A50" s="2">
        <v>3</v>
      </c>
      <c r="B50" s="2">
        <v>1</v>
      </c>
      <c r="C50" s="2">
        <v>1</v>
      </c>
      <c r="D50" s="2">
        <v>1</v>
      </c>
      <c r="E50" s="2">
        <v>2</v>
      </c>
      <c r="F50" s="2">
        <v>1</v>
      </c>
      <c r="G50" s="2">
        <v>2</v>
      </c>
      <c r="H50" s="2">
        <v>2</v>
      </c>
      <c r="I50" s="2">
        <v>1</v>
      </c>
      <c r="J50" s="2">
        <v>2</v>
      </c>
      <c r="K50" s="2" t="b">
        <f t="shared" si="0"/>
        <v>0</v>
      </c>
      <c r="N50" s="18" t="s">
        <v>39</v>
      </c>
    </row>
    <row r="51" spans="1:22">
      <c r="A51" s="2">
        <v>3</v>
      </c>
      <c r="B51" s="2">
        <v>1</v>
      </c>
      <c r="C51" s="2">
        <v>1</v>
      </c>
      <c r="D51" s="2">
        <v>1</v>
      </c>
      <c r="E51" s="2">
        <v>3</v>
      </c>
      <c r="F51" s="2">
        <v>1</v>
      </c>
      <c r="G51" s="2">
        <v>2</v>
      </c>
      <c r="H51" s="2">
        <v>1</v>
      </c>
      <c r="I51" s="2">
        <v>1</v>
      </c>
      <c r="J51" s="2">
        <v>2</v>
      </c>
      <c r="K51" s="2" t="b">
        <f t="shared" si="0"/>
        <v>0</v>
      </c>
      <c r="M51" s="11" t="s">
        <v>63</v>
      </c>
      <c r="S51" s="17" t="s">
        <v>25</v>
      </c>
      <c r="T51" s="23">
        <f>COUNTIF($K$399:$K$409, "=TRUE")/COUNTA($K$399:$K$409)</f>
        <v>0</v>
      </c>
    </row>
    <row r="52" spans="1:22">
      <c r="A52" s="2">
        <v>4</v>
      </c>
      <c r="B52" s="2">
        <v>1</v>
      </c>
      <c r="C52" s="2">
        <v>1</v>
      </c>
      <c r="D52" s="2">
        <v>1</v>
      </c>
      <c r="E52" s="2">
        <v>2</v>
      </c>
      <c r="F52" s="2">
        <v>1</v>
      </c>
      <c r="G52" s="2">
        <v>2</v>
      </c>
      <c r="H52" s="2">
        <v>1</v>
      </c>
      <c r="I52" s="2">
        <v>1</v>
      </c>
      <c r="J52" s="2">
        <v>2</v>
      </c>
      <c r="K52" s="2" t="b">
        <f t="shared" si="0"/>
        <v>0</v>
      </c>
      <c r="N52" s="18" t="s">
        <v>39</v>
      </c>
    </row>
    <row r="53" spans="1:22">
      <c r="A53" s="2">
        <v>3</v>
      </c>
      <c r="B53" s="2">
        <v>1</v>
      </c>
      <c r="C53" s="2">
        <v>1</v>
      </c>
      <c r="D53" s="2">
        <v>1</v>
      </c>
      <c r="E53" s="2">
        <v>2</v>
      </c>
      <c r="F53" s="2">
        <v>1</v>
      </c>
      <c r="G53" s="2">
        <v>1</v>
      </c>
      <c r="H53" s="2">
        <v>1</v>
      </c>
      <c r="I53" s="2">
        <v>1</v>
      </c>
      <c r="J53" s="2">
        <v>2</v>
      </c>
      <c r="K53" s="2" t="b">
        <f t="shared" si="0"/>
        <v>0</v>
      </c>
      <c r="M53" s="11" t="s">
        <v>64</v>
      </c>
      <c r="S53" s="17" t="s">
        <v>25</v>
      </c>
      <c r="T53" s="23">
        <f>COUNTIF($K$410:$K$413, "=TRUE")/COUNTA($K$410:$K$413)</f>
        <v>0</v>
      </c>
    </row>
    <row r="54" spans="1:22">
      <c r="A54" s="2">
        <v>4</v>
      </c>
      <c r="B54" s="2">
        <v>1</v>
      </c>
      <c r="C54" s="2">
        <v>2</v>
      </c>
      <c r="D54" s="2">
        <v>1</v>
      </c>
      <c r="E54" s="2">
        <v>2</v>
      </c>
      <c r="F54" s="2">
        <v>1</v>
      </c>
      <c r="G54" s="2">
        <v>2</v>
      </c>
      <c r="H54" s="2">
        <v>1</v>
      </c>
      <c r="I54" s="2">
        <v>1</v>
      </c>
      <c r="J54" s="2">
        <v>2</v>
      </c>
      <c r="K54" s="2" t="b">
        <f t="shared" si="0"/>
        <v>0</v>
      </c>
      <c r="N54" s="18" t="s">
        <v>39</v>
      </c>
    </row>
    <row r="55" spans="1:22">
      <c r="A55" s="2">
        <v>3</v>
      </c>
      <c r="B55" s="2">
        <v>1</v>
      </c>
      <c r="C55" s="2">
        <v>1</v>
      </c>
      <c r="D55" s="2">
        <v>1</v>
      </c>
      <c r="E55" s="2">
        <v>2</v>
      </c>
      <c r="F55" s="2">
        <v>1</v>
      </c>
      <c r="G55" s="2">
        <v>1</v>
      </c>
      <c r="H55" s="2">
        <v>1</v>
      </c>
      <c r="I55" s="2">
        <v>1</v>
      </c>
      <c r="J55" s="2">
        <v>2</v>
      </c>
      <c r="K55" s="2" t="b">
        <f t="shared" si="0"/>
        <v>0</v>
      </c>
      <c r="M55" s="11" t="s">
        <v>65</v>
      </c>
      <c r="S55" s="17" t="s">
        <v>25</v>
      </c>
      <c r="T55" s="23">
        <f>COUNTIF($K$414:$K$414, "=TRUE")/COUNTA($K$414:$K$414)</f>
        <v>0</v>
      </c>
    </row>
    <row r="56" spans="1:22">
      <c r="A56" s="2">
        <v>2</v>
      </c>
      <c r="B56" s="2">
        <v>1</v>
      </c>
      <c r="C56" s="2">
        <v>1</v>
      </c>
      <c r="D56" s="2">
        <v>1</v>
      </c>
      <c r="E56" s="2">
        <v>2</v>
      </c>
      <c r="F56" s="2">
        <v>1</v>
      </c>
      <c r="G56" s="2">
        <v>1</v>
      </c>
      <c r="H56" s="2">
        <v>1</v>
      </c>
      <c r="I56" s="2">
        <v>1</v>
      </c>
      <c r="J56" s="2">
        <v>2</v>
      </c>
      <c r="K56" s="2" t="b">
        <f t="shared" si="0"/>
        <v>0</v>
      </c>
      <c r="N56" s="18" t="s">
        <v>39</v>
      </c>
    </row>
    <row r="57" spans="1:22">
      <c r="A57" s="2">
        <v>2</v>
      </c>
      <c r="B57" s="2">
        <v>1</v>
      </c>
      <c r="C57" s="2">
        <v>1</v>
      </c>
      <c r="D57" s="2">
        <v>1</v>
      </c>
      <c r="E57" s="2">
        <v>2</v>
      </c>
      <c r="F57" s="2">
        <v>1</v>
      </c>
      <c r="G57" s="2">
        <v>2</v>
      </c>
      <c r="H57" s="2">
        <v>1</v>
      </c>
      <c r="I57" s="2">
        <v>1</v>
      </c>
      <c r="J57" s="2">
        <v>2</v>
      </c>
      <c r="K57" s="2" t="b">
        <f t="shared" si="0"/>
        <v>0</v>
      </c>
      <c r="M57" s="11" t="s">
        <v>66</v>
      </c>
      <c r="S57" s="17" t="s">
        <v>25</v>
      </c>
      <c r="T57" s="23">
        <f>COUNTIF($K$415:$K$415, "=TRUE")/COUNTA($K$415:$K$415)</f>
        <v>1</v>
      </c>
    </row>
    <row r="58" spans="1:22">
      <c r="A58" s="2">
        <v>3</v>
      </c>
      <c r="B58" s="2">
        <v>1</v>
      </c>
      <c r="C58" s="2">
        <v>1</v>
      </c>
      <c r="D58" s="2">
        <v>3</v>
      </c>
      <c r="E58" s="2">
        <v>8</v>
      </c>
      <c r="F58" s="2">
        <v>1</v>
      </c>
      <c r="G58" s="2">
        <v>5</v>
      </c>
      <c r="H58" s="2">
        <v>8</v>
      </c>
      <c r="I58" s="2">
        <v>1</v>
      </c>
      <c r="J58" s="2">
        <v>2</v>
      </c>
      <c r="K58" s="2" t="b">
        <f t="shared" si="0"/>
        <v>0</v>
      </c>
      <c r="N58" s="18" t="s">
        <v>26</v>
      </c>
    </row>
    <row r="59" spans="1:22">
      <c r="A59" s="2">
        <v>1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3</v>
      </c>
      <c r="H59" s="2">
        <v>1</v>
      </c>
      <c r="I59" s="2">
        <v>1</v>
      </c>
      <c r="J59" s="2">
        <v>2</v>
      </c>
      <c r="K59" s="2" t="b">
        <f t="shared" si="0"/>
        <v>0</v>
      </c>
      <c r="M59" s="11" t="s">
        <v>67</v>
      </c>
      <c r="S59" s="17" t="s">
        <v>25</v>
      </c>
      <c r="T59" s="23">
        <f>COUNTIF($K$416:$K$417, "=TRUE")/COUNTA($K$416:$K$417)</f>
        <v>0</v>
      </c>
    </row>
    <row r="60" spans="1:22">
      <c r="A60" s="2">
        <v>1</v>
      </c>
      <c r="B60" s="2">
        <v>1</v>
      </c>
      <c r="C60" s="2">
        <v>1</v>
      </c>
      <c r="D60" s="2">
        <v>1</v>
      </c>
      <c r="E60" s="2">
        <v>2</v>
      </c>
      <c r="F60" s="2">
        <v>1</v>
      </c>
      <c r="G60" s="2">
        <v>1</v>
      </c>
      <c r="H60" s="2">
        <v>1</v>
      </c>
      <c r="I60" s="2">
        <v>1</v>
      </c>
      <c r="J60" s="2">
        <v>2</v>
      </c>
      <c r="K60" s="2" t="b">
        <f t="shared" si="0"/>
        <v>0</v>
      </c>
      <c r="N60" s="18" t="s">
        <v>39</v>
      </c>
    </row>
    <row r="61" spans="1:22">
      <c r="A61" s="2">
        <v>2</v>
      </c>
      <c r="B61" s="2">
        <v>1</v>
      </c>
      <c r="C61" s="2">
        <v>1</v>
      </c>
      <c r="D61" s="2">
        <v>1</v>
      </c>
      <c r="E61" s="2">
        <v>2</v>
      </c>
      <c r="F61" s="2">
        <v>1</v>
      </c>
      <c r="G61" s="2">
        <v>3</v>
      </c>
      <c r="H61" s="2">
        <v>1</v>
      </c>
      <c r="I61" s="2">
        <v>1</v>
      </c>
      <c r="J61" s="2">
        <v>2</v>
      </c>
      <c r="K61" s="2" t="b">
        <f t="shared" si="0"/>
        <v>0</v>
      </c>
      <c r="M61" s="11" t="s">
        <v>55</v>
      </c>
      <c r="S61" s="17" t="s">
        <v>25</v>
      </c>
      <c r="T61" s="23">
        <f>COUNTIF($K$418:$K$421, "=TRUE")/COUNTA($K$418:$K$421)</f>
        <v>0</v>
      </c>
    </row>
    <row r="62" spans="1:22">
      <c r="A62" s="2">
        <v>4</v>
      </c>
      <c r="B62" s="2">
        <v>1</v>
      </c>
      <c r="C62" s="2">
        <v>1</v>
      </c>
      <c r="D62" s="2">
        <v>1</v>
      </c>
      <c r="E62" s="2">
        <v>2</v>
      </c>
      <c r="F62" s="2">
        <v>1</v>
      </c>
      <c r="G62" s="2">
        <v>3</v>
      </c>
      <c r="H62" s="2">
        <v>2</v>
      </c>
      <c r="I62" s="2">
        <v>1</v>
      </c>
      <c r="J62" s="2">
        <v>2</v>
      </c>
      <c r="K62" s="2" t="b">
        <f t="shared" si="0"/>
        <v>0</v>
      </c>
      <c r="N62" s="18" t="s">
        <v>39</v>
      </c>
    </row>
    <row r="63" spans="1:22">
      <c r="A63" s="2">
        <v>3</v>
      </c>
      <c r="B63" s="2">
        <v>1</v>
      </c>
      <c r="C63" s="2">
        <v>1</v>
      </c>
      <c r="D63" s="2">
        <v>1</v>
      </c>
      <c r="E63" s="2">
        <v>2</v>
      </c>
      <c r="F63" s="2">
        <v>1</v>
      </c>
      <c r="G63" s="2">
        <v>3</v>
      </c>
      <c r="H63" s="2">
        <v>1</v>
      </c>
      <c r="I63" s="2">
        <v>1</v>
      </c>
      <c r="J63" s="2">
        <v>2</v>
      </c>
      <c r="K63" s="2" t="b">
        <f t="shared" si="0"/>
        <v>0</v>
      </c>
      <c r="M63" s="11" t="s">
        <v>56</v>
      </c>
      <c r="S63" s="17" t="s">
        <v>25</v>
      </c>
      <c r="T63" s="18">
        <f>COUNTIF($K$422:$K$424, "=TRUE")/COUNTA($K$422:$K$424)</f>
        <v>0.33333333333333331</v>
      </c>
    </row>
    <row r="64" spans="1:22">
      <c r="A64" s="2">
        <v>3</v>
      </c>
      <c r="B64" s="2">
        <v>1</v>
      </c>
      <c r="C64" s="2">
        <v>1</v>
      </c>
      <c r="D64" s="2">
        <v>1</v>
      </c>
      <c r="E64" s="2">
        <v>2</v>
      </c>
      <c r="F64" s="2">
        <v>1</v>
      </c>
      <c r="G64" s="2">
        <v>3</v>
      </c>
      <c r="H64" s="2">
        <v>1</v>
      </c>
      <c r="I64" s="2">
        <v>1</v>
      </c>
      <c r="J64" s="2">
        <v>2</v>
      </c>
      <c r="K64" s="2" t="b">
        <f t="shared" si="0"/>
        <v>0</v>
      </c>
      <c r="M64" t="s">
        <v>18</v>
      </c>
      <c r="N64" s="16">
        <f>infoGain(A$422:A$424,$K$422:$K$424)</f>
        <v>0.91829583405448956</v>
      </c>
      <c r="O64" s="14">
        <f t="shared" ref="O64:V64" si="7">infoGain(B$422:B$424,$K$422:$K$424)</f>
        <v>0</v>
      </c>
      <c r="P64" s="14">
        <f t="shared" si="7"/>
        <v>0.91829583405448956</v>
      </c>
      <c r="Q64" s="14">
        <f t="shared" si="7"/>
        <v>0.25162916738782293</v>
      </c>
      <c r="R64" s="14">
        <f t="shared" si="7"/>
        <v>0.91829583405448956</v>
      </c>
      <c r="S64" s="14">
        <f t="shared" si="7"/>
        <v>0</v>
      </c>
      <c r="T64" s="14">
        <f t="shared" si="7"/>
        <v>0.91829583405448956</v>
      </c>
      <c r="U64" s="14">
        <f t="shared" si="7"/>
        <v>0</v>
      </c>
      <c r="V64" s="14">
        <f t="shared" si="7"/>
        <v>0</v>
      </c>
    </row>
    <row r="65" spans="1:22">
      <c r="A65" s="2">
        <v>1</v>
      </c>
      <c r="B65" s="2">
        <v>1</v>
      </c>
      <c r="C65" s="2">
        <v>1</v>
      </c>
      <c r="D65" s="2">
        <v>2</v>
      </c>
      <c r="E65" s="2">
        <v>1</v>
      </c>
      <c r="F65" s="2">
        <v>1</v>
      </c>
      <c r="G65" s="2">
        <v>1</v>
      </c>
      <c r="H65" s="2">
        <v>1</v>
      </c>
      <c r="I65" s="2">
        <v>1</v>
      </c>
      <c r="J65" s="2">
        <v>2</v>
      </c>
      <c r="K65" s="2" t="b">
        <f t="shared" si="0"/>
        <v>0</v>
      </c>
      <c r="M65" s="18" t="s">
        <v>35</v>
      </c>
      <c r="N65" s="18" t="str">
        <f>INDEX($N$2:$V$2,MATCH(MAX($N64:$V64),$N64:$V64,0))</f>
        <v>clump_thickness</v>
      </c>
    </row>
    <row r="66" spans="1:22">
      <c r="A66" s="2">
        <v>3</v>
      </c>
      <c r="B66" s="2">
        <v>1</v>
      </c>
      <c r="C66" s="2">
        <v>1</v>
      </c>
      <c r="D66" s="2">
        <v>1</v>
      </c>
      <c r="E66" s="2">
        <v>2</v>
      </c>
      <c r="F66" s="2">
        <v>1</v>
      </c>
      <c r="G66" s="2">
        <v>1</v>
      </c>
      <c r="H66" s="2">
        <v>1</v>
      </c>
      <c r="I66" s="2">
        <v>1</v>
      </c>
      <c r="J66" s="2">
        <v>2</v>
      </c>
      <c r="K66" s="2" t="b">
        <f t="shared" si="0"/>
        <v>0</v>
      </c>
      <c r="M66" s="11" t="s">
        <v>48</v>
      </c>
      <c r="S66" s="17" t="s">
        <v>25</v>
      </c>
      <c r="T66" s="23">
        <f>COUNTIF($K$422:$K$423, "=TRUE")/COUNTA($K$422:$K$423)</f>
        <v>0</v>
      </c>
    </row>
    <row r="67" spans="1:22">
      <c r="A67" s="2">
        <v>1</v>
      </c>
      <c r="B67" s="2">
        <v>1</v>
      </c>
      <c r="C67" s="2">
        <v>1</v>
      </c>
      <c r="D67" s="2">
        <v>1</v>
      </c>
      <c r="E67" s="2">
        <v>2</v>
      </c>
      <c r="F67" s="2">
        <v>1</v>
      </c>
      <c r="G67" s="2">
        <v>3</v>
      </c>
      <c r="H67" s="2">
        <v>1</v>
      </c>
      <c r="I67" s="2">
        <v>1</v>
      </c>
      <c r="J67" s="2">
        <v>2</v>
      </c>
      <c r="K67" s="2" t="b">
        <f t="shared" ref="K67:K130" si="8">IF(J67=4, TRUE, FALSE)</f>
        <v>0</v>
      </c>
      <c r="N67" s="18" t="s">
        <v>39</v>
      </c>
    </row>
    <row r="68" spans="1:22">
      <c r="A68" s="2">
        <v>1</v>
      </c>
      <c r="B68" s="2">
        <v>1</v>
      </c>
      <c r="C68" s="2">
        <v>1</v>
      </c>
      <c r="D68" s="2">
        <v>1</v>
      </c>
      <c r="E68" s="2">
        <v>2</v>
      </c>
      <c r="F68" s="2">
        <v>1</v>
      </c>
      <c r="G68" s="2">
        <v>2</v>
      </c>
      <c r="H68" s="2">
        <v>1</v>
      </c>
      <c r="I68" s="2">
        <v>1</v>
      </c>
      <c r="J68" s="2">
        <v>2</v>
      </c>
      <c r="K68" s="2" t="b">
        <f t="shared" si="8"/>
        <v>0</v>
      </c>
      <c r="M68" s="11" t="s">
        <v>68</v>
      </c>
      <c r="S68" s="17" t="s">
        <v>25</v>
      </c>
      <c r="T68" s="23">
        <f>COUNTIF($K$424:$K$424, "=TRUE")/COUNTA($K$424:$K$424)</f>
        <v>1</v>
      </c>
    </row>
    <row r="69" spans="1:22">
      <c r="A69" s="2">
        <v>2</v>
      </c>
      <c r="B69" s="2">
        <v>1</v>
      </c>
      <c r="C69" s="2">
        <v>1</v>
      </c>
      <c r="D69" s="2">
        <v>1</v>
      </c>
      <c r="E69" s="2">
        <v>2</v>
      </c>
      <c r="F69" s="2">
        <v>1</v>
      </c>
      <c r="G69" s="2">
        <v>3</v>
      </c>
      <c r="H69" s="2">
        <v>1</v>
      </c>
      <c r="I69" s="2">
        <v>1</v>
      </c>
      <c r="J69" s="2">
        <v>2</v>
      </c>
      <c r="K69" s="2" t="b">
        <f t="shared" si="8"/>
        <v>0</v>
      </c>
      <c r="N69" s="18" t="s">
        <v>26</v>
      </c>
    </row>
    <row r="70" spans="1:22">
      <c r="A70" s="2">
        <v>4</v>
      </c>
      <c r="B70" s="2">
        <v>1</v>
      </c>
      <c r="C70" s="2">
        <v>1</v>
      </c>
      <c r="D70" s="2">
        <v>1</v>
      </c>
      <c r="E70" s="2">
        <v>2</v>
      </c>
      <c r="F70" s="2">
        <v>1</v>
      </c>
      <c r="G70" s="2">
        <v>3</v>
      </c>
      <c r="H70" s="2">
        <v>1</v>
      </c>
      <c r="I70" s="2">
        <v>1</v>
      </c>
      <c r="J70" s="2">
        <v>2</v>
      </c>
      <c r="K70" s="2" t="b">
        <f t="shared" si="8"/>
        <v>0</v>
      </c>
      <c r="M70" s="11" t="s">
        <v>57</v>
      </c>
      <c r="S70" s="17" t="s">
        <v>25</v>
      </c>
      <c r="T70" s="18">
        <f>COUNTIF($K$425:$K$426, "=TRUE")/COUNTA($K$425:$K$426)</f>
        <v>0.5</v>
      </c>
    </row>
    <row r="71" spans="1:22">
      <c r="A71" s="2">
        <v>1</v>
      </c>
      <c r="B71" s="2">
        <v>1</v>
      </c>
      <c r="C71" s="2">
        <v>1</v>
      </c>
      <c r="D71" s="2">
        <v>1</v>
      </c>
      <c r="E71" s="2">
        <v>1</v>
      </c>
      <c r="F71" s="2">
        <v>1</v>
      </c>
      <c r="G71" s="2">
        <v>3</v>
      </c>
      <c r="H71" s="2">
        <v>1</v>
      </c>
      <c r="I71" s="2">
        <v>1</v>
      </c>
      <c r="J71" s="2">
        <v>2</v>
      </c>
      <c r="K71" s="2" t="b">
        <f t="shared" si="8"/>
        <v>0</v>
      </c>
      <c r="M71" t="s">
        <v>18</v>
      </c>
      <c r="N71" s="16">
        <f>infoGain(A$425:A$426,$K$425:$K$426)</f>
        <v>1</v>
      </c>
      <c r="O71" s="14">
        <f t="shared" ref="O71:V71" si="9">infoGain(B$425:B$426,$K$425:$K$426)</f>
        <v>0</v>
      </c>
      <c r="P71" s="14">
        <f t="shared" si="9"/>
        <v>1</v>
      </c>
      <c r="Q71" s="14">
        <f t="shared" si="9"/>
        <v>1</v>
      </c>
      <c r="R71" s="14">
        <f t="shared" si="9"/>
        <v>1</v>
      </c>
      <c r="S71" s="14">
        <f t="shared" si="9"/>
        <v>0</v>
      </c>
      <c r="T71" s="14">
        <f t="shared" si="9"/>
        <v>1</v>
      </c>
      <c r="U71" s="14">
        <f t="shared" si="9"/>
        <v>1</v>
      </c>
      <c r="V71" s="14">
        <f t="shared" si="9"/>
        <v>0</v>
      </c>
    </row>
    <row r="72" spans="1:22">
      <c r="A72" s="2">
        <v>1</v>
      </c>
      <c r="B72" s="2">
        <v>1</v>
      </c>
      <c r="C72" s="2">
        <v>1</v>
      </c>
      <c r="D72" s="2">
        <v>1</v>
      </c>
      <c r="E72" s="2">
        <v>2</v>
      </c>
      <c r="F72" s="2">
        <v>1</v>
      </c>
      <c r="G72" s="2">
        <v>1</v>
      </c>
      <c r="H72" s="2">
        <v>1</v>
      </c>
      <c r="I72" s="2">
        <v>1</v>
      </c>
      <c r="J72" s="2">
        <v>2</v>
      </c>
      <c r="K72" s="2" t="b">
        <f t="shared" si="8"/>
        <v>0</v>
      </c>
      <c r="M72" s="18" t="s">
        <v>35</v>
      </c>
      <c r="N72" s="18" t="str">
        <f>INDEX($N$2:$V$2,MATCH(MAX($N71:$V71),$N71:$V71,0))</f>
        <v>clump_thickness</v>
      </c>
    </row>
    <row r="73" spans="1:22">
      <c r="A73" s="2">
        <v>6</v>
      </c>
      <c r="B73" s="2">
        <v>1</v>
      </c>
      <c r="C73" s="2">
        <v>1</v>
      </c>
      <c r="D73" s="2">
        <v>1</v>
      </c>
      <c r="E73" s="2">
        <v>2</v>
      </c>
      <c r="F73" s="2">
        <v>1</v>
      </c>
      <c r="G73" s="2">
        <v>3</v>
      </c>
      <c r="H73" s="2">
        <v>1</v>
      </c>
      <c r="I73" s="2">
        <v>1</v>
      </c>
      <c r="J73" s="2">
        <v>2</v>
      </c>
      <c r="K73" s="2" t="b">
        <f t="shared" si="8"/>
        <v>0</v>
      </c>
      <c r="M73" s="11" t="s">
        <v>50</v>
      </c>
      <c r="S73" s="17" t="s">
        <v>25</v>
      </c>
      <c r="T73" s="19">
        <f>COUNTIF($K$425:$K$425, "=TRUE")/COUNTA($K$425:$K$425)</f>
        <v>0</v>
      </c>
    </row>
    <row r="74" spans="1:22">
      <c r="A74" s="2">
        <v>2</v>
      </c>
      <c r="B74" s="2">
        <v>1</v>
      </c>
      <c r="C74" s="2">
        <v>1</v>
      </c>
      <c r="D74" s="2">
        <v>1</v>
      </c>
      <c r="E74" s="2">
        <v>1</v>
      </c>
      <c r="F74" s="2">
        <v>1</v>
      </c>
      <c r="G74" s="2">
        <v>3</v>
      </c>
      <c r="H74" s="2">
        <v>1</v>
      </c>
      <c r="I74" s="2">
        <v>1</v>
      </c>
      <c r="J74" s="2">
        <v>2</v>
      </c>
      <c r="K74" s="2" t="b">
        <f t="shared" si="8"/>
        <v>0</v>
      </c>
      <c r="N74" s="18" t="s">
        <v>39</v>
      </c>
    </row>
    <row r="75" spans="1:22">
      <c r="A75" s="2">
        <v>5</v>
      </c>
      <c r="B75" s="2">
        <v>1</v>
      </c>
      <c r="C75" s="2">
        <v>1</v>
      </c>
      <c r="D75" s="2">
        <v>1</v>
      </c>
      <c r="E75" s="2">
        <v>2</v>
      </c>
      <c r="F75" s="2">
        <v>1</v>
      </c>
      <c r="G75" s="2">
        <v>2</v>
      </c>
      <c r="H75" s="2">
        <v>1</v>
      </c>
      <c r="I75" s="2">
        <v>1</v>
      </c>
      <c r="J75" s="2">
        <v>2</v>
      </c>
      <c r="K75" s="2" t="b">
        <f t="shared" si="8"/>
        <v>0</v>
      </c>
      <c r="M75" s="11" t="s">
        <v>69</v>
      </c>
      <c r="S75" s="17" t="s">
        <v>25</v>
      </c>
      <c r="T75" s="19">
        <f>COUNTIF($K$426:$K$426, "=TRUE")/COUNTA($K$426:$K$426)</f>
        <v>1</v>
      </c>
    </row>
    <row r="76" spans="1:22">
      <c r="A76" s="2">
        <v>1</v>
      </c>
      <c r="B76" s="2">
        <v>1</v>
      </c>
      <c r="C76" s="2">
        <v>1</v>
      </c>
      <c r="D76" s="2">
        <v>1</v>
      </c>
      <c r="E76" s="2">
        <v>2</v>
      </c>
      <c r="F76" s="2">
        <v>1</v>
      </c>
      <c r="G76" s="2">
        <v>3</v>
      </c>
      <c r="H76" s="2">
        <v>1</v>
      </c>
      <c r="I76" s="2">
        <v>1</v>
      </c>
      <c r="J76" s="2">
        <v>2</v>
      </c>
      <c r="K76" s="2" t="b">
        <f t="shared" si="8"/>
        <v>0</v>
      </c>
      <c r="N76" s="18" t="s">
        <v>26</v>
      </c>
    </row>
    <row r="77" spans="1:22">
      <c r="A77" s="2">
        <v>3</v>
      </c>
      <c r="B77" s="2">
        <v>1</v>
      </c>
      <c r="C77" s="2">
        <v>1</v>
      </c>
      <c r="D77" s="2">
        <v>1</v>
      </c>
      <c r="E77" s="2">
        <v>2</v>
      </c>
      <c r="F77" s="2">
        <v>1</v>
      </c>
      <c r="G77" s="2">
        <v>3</v>
      </c>
      <c r="H77" s="2">
        <v>1</v>
      </c>
      <c r="I77" s="2">
        <v>1</v>
      </c>
      <c r="J77" s="2">
        <v>2</v>
      </c>
      <c r="K77" s="2" t="b">
        <f t="shared" si="8"/>
        <v>0</v>
      </c>
      <c r="M77" s="11" t="s">
        <v>58</v>
      </c>
      <c r="S77" s="17" t="s">
        <v>25</v>
      </c>
      <c r="T77" s="19">
        <f>COUNTIF($K$427:$K$427, "=TRUE")/COUNTA($K$427:$K$427)</f>
        <v>1</v>
      </c>
    </row>
    <row r="78" spans="1:22">
      <c r="A78" s="2">
        <v>4</v>
      </c>
      <c r="B78" s="2">
        <v>1</v>
      </c>
      <c r="C78" s="2">
        <v>1</v>
      </c>
      <c r="D78" s="2">
        <v>1</v>
      </c>
      <c r="E78" s="2">
        <v>2</v>
      </c>
      <c r="F78" s="2">
        <v>1</v>
      </c>
      <c r="G78" s="2">
        <v>3</v>
      </c>
      <c r="H78" s="2">
        <v>1</v>
      </c>
      <c r="I78" s="2">
        <v>1</v>
      </c>
      <c r="J78" s="2">
        <v>2</v>
      </c>
      <c r="K78" s="2" t="b">
        <f t="shared" si="8"/>
        <v>0</v>
      </c>
      <c r="N78" s="18" t="s">
        <v>26</v>
      </c>
      <c r="U78" s="14"/>
      <c r="V78" s="14"/>
    </row>
    <row r="79" spans="1:22">
      <c r="A79" s="2">
        <v>5</v>
      </c>
      <c r="B79" s="2">
        <v>1</v>
      </c>
      <c r="C79" s="2">
        <v>1</v>
      </c>
      <c r="D79" s="2">
        <v>4</v>
      </c>
      <c r="E79" s="2">
        <v>2</v>
      </c>
      <c r="F79" s="2">
        <v>1</v>
      </c>
      <c r="G79" s="2">
        <v>3</v>
      </c>
      <c r="H79" s="2">
        <v>1</v>
      </c>
      <c r="I79" s="2">
        <v>1</v>
      </c>
      <c r="J79" s="2">
        <v>2</v>
      </c>
      <c r="K79" s="2" t="b">
        <f t="shared" si="8"/>
        <v>0</v>
      </c>
      <c r="M79" s="11" t="s">
        <v>59</v>
      </c>
      <c r="S79" s="17" t="s">
        <v>25</v>
      </c>
      <c r="T79" s="19">
        <f>COUNTIF($K$428:$K$428, "=TRUE")/COUNTA($K$428:$K$428)</f>
        <v>1</v>
      </c>
    </row>
    <row r="80" spans="1:22">
      <c r="A80" s="2">
        <v>1</v>
      </c>
      <c r="B80" s="2">
        <v>1</v>
      </c>
      <c r="C80" s="2">
        <v>1</v>
      </c>
      <c r="D80" s="2">
        <v>1</v>
      </c>
      <c r="E80" s="2">
        <v>2</v>
      </c>
      <c r="F80" s="2">
        <v>1</v>
      </c>
      <c r="G80" s="2">
        <v>1</v>
      </c>
      <c r="H80" s="2">
        <v>1</v>
      </c>
      <c r="I80" s="2">
        <v>1</v>
      </c>
      <c r="J80" s="2">
        <v>2</v>
      </c>
      <c r="K80" s="2" t="b">
        <f t="shared" si="8"/>
        <v>0</v>
      </c>
      <c r="N80" s="18" t="s">
        <v>26</v>
      </c>
    </row>
    <row r="81" spans="1:22">
      <c r="A81" s="2">
        <v>3</v>
      </c>
      <c r="B81" s="2">
        <v>1</v>
      </c>
      <c r="C81" s="2">
        <v>1</v>
      </c>
      <c r="D81" s="2">
        <v>1</v>
      </c>
      <c r="E81" s="2">
        <v>2</v>
      </c>
      <c r="F81" s="2">
        <v>1</v>
      </c>
      <c r="G81" s="2">
        <v>2</v>
      </c>
      <c r="H81" s="2">
        <v>1</v>
      </c>
      <c r="I81" s="2">
        <v>1</v>
      </c>
      <c r="J81" s="2">
        <v>2</v>
      </c>
      <c r="K81" s="2" t="b">
        <f t="shared" si="8"/>
        <v>0</v>
      </c>
      <c r="M81" s="11" t="s">
        <v>60</v>
      </c>
      <c r="S81" s="17" t="s">
        <v>25</v>
      </c>
      <c r="T81" s="19">
        <f>COUNTIF($K$429:$K$429, "=TRUE")/COUNTA($K$429:$K$429)</f>
        <v>1</v>
      </c>
    </row>
    <row r="82" spans="1:22">
      <c r="A82" s="2">
        <v>1</v>
      </c>
      <c r="B82" s="2">
        <v>1</v>
      </c>
      <c r="C82" s="2">
        <v>1</v>
      </c>
      <c r="D82" s="2">
        <v>1</v>
      </c>
      <c r="E82" s="2">
        <v>2</v>
      </c>
      <c r="F82" s="2">
        <v>1</v>
      </c>
      <c r="G82" s="2">
        <v>3</v>
      </c>
      <c r="H82" s="2">
        <v>1</v>
      </c>
      <c r="I82" s="2">
        <v>1</v>
      </c>
      <c r="J82" s="2">
        <v>2</v>
      </c>
      <c r="K82" s="2" t="b">
        <f t="shared" si="8"/>
        <v>0</v>
      </c>
      <c r="N82" s="18" t="s">
        <v>26</v>
      </c>
      <c r="U82" s="14"/>
      <c r="V82" s="14"/>
    </row>
    <row r="83" spans="1:22">
      <c r="A83" s="2">
        <v>5</v>
      </c>
      <c r="B83" s="2">
        <v>1</v>
      </c>
      <c r="C83" s="2">
        <v>1</v>
      </c>
      <c r="D83" s="2">
        <v>1</v>
      </c>
      <c r="E83" s="2">
        <v>2</v>
      </c>
      <c r="F83" s="2">
        <v>1</v>
      </c>
      <c r="G83" s="2">
        <v>3</v>
      </c>
      <c r="H83" s="2">
        <v>1</v>
      </c>
      <c r="I83" s="2">
        <v>1</v>
      </c>
      <c r="J83" s="2">
        <v>2</v>
      </c>
      <c r="K83" s="2" t="b">
        <f t="shared" si="8"/>
        <v>0</v>
      </c>
      <c r="M83" s="11" t="s">
        <v>61</v>
      </c>
      <c r="S83" s="17" t="s">
        <v>25</v>
      </c>
      <c r="T83" s="19">
        <f>COUNTIF($K$430:$K$431, "=TRUE")/COUNTA($K$430:$K$431)</f>
        <v>1</v>
      </c>
    </row>
    <row r="84" spans="1:22">
      <c r="A84" s="2">
        <v>1</v>
      </c>
      <c r="B84" s="2">
        <v>1</v>
      </c>
      <c r="C84" s="2">
        <v>1</v>
      </c>
      <c r="D84" s="2">
        <v>1</v>
      </c>
      <c r="E84" s="2">
        <v>2</v>
      </c>
      <c r="F84" s="2">
        <v>1</v>
      </c>
      <c r="G84" s="2">
        <v>3</v>
      </c>
      <c r="H84" s="2">
        <v>1</v>
      </c>
      <c r="I84" s="2">
        <v>1</v>
      </c>
      <c r="J84" s="2">
        <v>2</v>
      </c>
      <c r="K84" s="2" t="b">
        <f t="shared" si="8"/>
        <v>0</v>
      </c>
      <c r="N84" s="18" t="s">
        <v>26</v>
      </c>
    </row>
    <row r="85" spans="1:22">
      <c r="A85" s="2">
        <v>1</v>
      </c>
      <c r="B85" s="2">
        <v>1</v>
      </c>
      <c r="C85" s="2">
        <v>1</v>
      </c>
      <c r="D85" s="2">
        <v>1</v>
      </c>
      <c r="E85" s="2">
        <v>1</v>
      </c>
      <c r="F85" s="2">
        <v>1</v>
      </c>
      <c r="G85" s="2">
        <v>3</v>
      </c>
      <c r="H85" s="2">
        <v>1</v>
      </c>
      <c r="I85" s="2">
        <v>1</v>
      </c>
      <c r="J85" s="2">
        <v>2</v>
      </c>
      <c r="K85" s="2" t="b">
        <f t="shared" si="8"/>
        <v>0</v>
      </c>
    </row>
    <row r="86" spans="1:22">
      <c r="A86" s="2">
        <v>1</v>
      </c>
      <c r="B86" s="2">
        <v>1</v>
      </c>
      <c r="C86" s="2">
        <v>1</v>
      </c>
      <c r="D86" s="2">
        <v>1</v>
      </c>
      <c r="E86" s="2">
        <v>1</v>
      </c>
      <c r="F86" s="2">
        <v>1</v>
      </c>
      <c r="G86" s="2">
        <v>3</v>
      </c>
      <c r="H86" s="2">
        <v>1</v>
      </c>
      <c r="I86" s="2">
        <v>1</v>
      </c>
      <c r="J86" s="2">
        <v>2</v>
      </c>
      <c r="K86" s="2" t="b">
        <f t="shared" si="8"/>
        <v>0</v>
      </c>
      <c r="M86" s="11" t="s">
        <v>29</v>
      </c>
      <c r="S86" s="17" t="s">
        <v>25</v>
      </c>
      <c r="T86" s="18">
        <f>COUNTIF($K$432:$K$483, "=TRUE")/COUNTA($K$432:$K$483)</f>
        <v>0.48076923076923078</v>
      </c>
    </row>
    <row r="87" spans="1:22">
      <c r="A87" s="2">
        <v>5</v>
      </c>
      <c r="B87" s="2">
        <v>1</v>
      </c>
      <c r="C87" s="2">
        <v>1</v>
      </c>
      <c r="D87" s="2">
        <v>1</v>
      </c>
      <c r="E87" s="2">
        <v>1</v>
      </c>
      <c r="F87" s="2">
        <v>1</v>
      </c>
      <c r="G87" s="2">
        <v>3</v>
      </c>
      <c r="H87" s="2">
        <v>1</v>
      </c>
      <c r="I87" s="2">
        <v>1</v>
      </c>
      <c r="J87" s="2">
        <v>2</v>
      </c>
      <c r="K87" s="2" t="b">
        <f t="shared" si="8"/>
        <v>0</v>
      </c>
      <c r="M87" t="s">
        <v>18</v>
      </c>
      <c r="N87" s="14">
        <f>infoGain(A$432:A$483,$K$432:$K$483)</f>
        <v>0.31724480301167302</v>
      </c>
      <c r="O87" s="14">
        <f t="shared" ref="O87:T87" si="10">infoGain(B$432:B$483,$K$432:$K$483)</f>
        <v>0</v>
      </c>
      <c r="P87" s="14">
        <f t="shared" si="10"/>
        <v>0.3933859300532242</v>
      </c>
      <c r="Q87" s="14">
        <f t="shared" si="10"/>
        <v>0.22188548220468174</v>
      </c>
      <c r="R87" s="14">
        <f t="shared" si="10"/>
        <v>0.19426724472586698</v>
      </c>
      <c r="S87" s="16">
        <f t="shared" si="10"/>
        <v>0.66334237955335418</v>
      </c>
      <c r="T87" s="14">
        <f t="shared" si="10"/>
        <v>0.25606012835060132</v>
      </c>
      <c r="U87" s="14">
        <f>infoGain(H$432:H$483,$K$432:$K$483)</f>
        <v>0.33600912411411943</v>
      </c>
      <c r="V87" s="14">
        <f>infoGain(I$432:I$483,$K$432:$K$483)</f>
        <v>0.11522840403178281</v>
      </c>
    </row>
    <row r="88" spans="1:22">
      <c r="A88" s="2">
        <v>1</v>
      </c>
      <c r="B88" s="2">
        <v>1</v>
      </c>
      <c r="C88" s="2">
        <v>1</v>
      </c>
      <c r="D88" s="2">
        <v>1</v>
      </c>
      <c r="E88" s="2">
        <v>2</v>
      </c>
      <c r="F88" s="2">
        <v>1</v>
      </c>
      <c r="G88" s="2">
        <v>3</v>
      </c>
      <c r="H88" s="2">
        <v>1</v>
      </c>
      <c r="I88" s="2">
        <v>1</v>
      </c>
      <c r="J88" s="2">
        <v>2</v>
      </c>
      <c r="K88" s="2" t="b">
        <f t="shared" si="8"/>
        <v>0</v>
      </c>
      <c r="M88" s="18" t="s">
        <v>35</v>
      </c>
      <c r="N88" s="18" t="str">
        <f>INDEX($N$2:$V$2,MATCH(MAX($N87:$V87),$N87:$V87,0))</f>
        <v xml:space="preserve"> bare_nucleoli</v>
      </c>
    </row>
    <row r="89" spans="1:22">
      <c r="A89" s="2">
        <v>1</v>
      </c>
      <c r="B89" s="2">
        <v>1</v>
      </c>
      <c r="C89" s="2">
        <v>1</v>
      </c>
      <c r="D89" s="2">
        <v>1</v>
      </c>
      <c r="E89" s="2">
        <v>2</v>
      </c>
      <c r="F89" s="2">
        <v>1</v>
      </c>
      <c r="G89" s="2">
        <v>2</v>
      </c>
      <c r="H89" s="2">
        <v>1</v>
      </c>
      <c r="I89" s="2">
        <v>1</v>
      </c>
      <c r="J89" s="2">
        <v>2</v>
      </c>
      <c r="K89" s="2" t="b">
        <f t="shared" si="8"/>
        <v>0</v>
      </c>
      <c r="M89" s="11" t="s">
        <v>38</v>
      </c>
      <c r="S89" s="17" t="s">
        <v>25</v>
      </c>
      <c r="T89" s="19">
        <f>COUNTIF($K$432:$K$450, "=TRUE")/COUNTA($K$432:$K$450)</f>
        <v>0</v>
      </c>
    </row>
    <row r="90" spans="1:22">
      <c r="A90" s="2">
        <v>1</v>
      </c>
      <c r="B90" s="2">
        <v>1</v>
      </c>
      <c r="C90" s="2">
        <v>1</v>
      </c>
      <c r="D90" s="2">
        <v>1</v>
      </c>
      <c r="E90" s="2">
        <v>2</v>
      </c>
      <c r="F90" s="2">
        <v>1</v>
      </c>
      <c r="G90" s="2">
        <v>3</v>
      </c>
      <c r="H90" s="2">
        <v>1</v>
      </c>
      <c r="I90" s="2">
        <v>1</v>
      </c>
      <c r="J90" s="2">
        <v>2</v>
      </c>
      <c r="K90" s="2" t="b">
        <f t="shared" si="8"/>
        <v>0</v>
      </c>
      <c r="N90" s="18" t="s">
        <v>39</v>
      </c>
    </row>
    <row r="91" spans="1:22">
      <c r="A91" s="2">
        <v>6</v>
      </c>
      <c r="B91" s="2">
        <v>1</v>
      </c>
      <c r="C91" s="2">
        <v>3</v>
      </c>
      <c r="D91" s="2">
        <v>1</v>
      </c>
      <c r="E91" s="2">
        <v>2</v>
      </c>
      <c r="F91" s="2">
        <v>1</v>
      </c>
      <c r="G91" s="2">
        <v>3</v>
      </c>
      <c r="H91" s="2">
        <v>1</v>
      </c>
      <c r="I91" s="2">
        <v>1</v>
      </c>
      <c r="J91" s="2">
        <v>2</v>
      </c>
      <c r="K91" s="2" t="b">
        <f t="shared" si="8"/>
        <v>0</v>
      </c>
      <c r="M91" s="11" t="s">
        <v>40</v>
      </c>
      <c r="S91" s="17" t="s">
        <v>25</v>
      </c>
      <c r="T91" s="18">
        <f>COUNTIF($K$451:$K$455, "=TRUE")/COUNTA($K$451:$K$455)</f>
        <v>0.2</v>
      </c>
    </row>
    <row r="92" spans="1:22">
      <c r="A92" s="2">
        <v>1</v>
      </c>
      <c r="B92" s="2">
        <v>1</v>
      </c>
      <c r="C92" s="2">
        <v>1</v>
      </c>
      <c r="D92" s="2">
        <v>2</v>
      </c>
      <c r="E92" s="2">
        <v>2</v>
      </c>
      <c r="F92" s="2">
        <v>1</v>
      </c>
      <c r="G92" s="2">
        <v>3</v>
      </c>
      <c r="H92" s="2">
        <v>1</v>
      </c>
      <c r="I92" s="2">
        <v>1</v>
      </c>
      <c r="J92" s="2">
        <v>2</v>
      </c>
      <c r="K92" s="2" t="b">
        <f t="shared" si="8"/>
        <v>0</v>
      </c>
      <c r="M92" t="s">
        <v>18</v>
      </c>
      <c r="N92" s="14">
        <f>infoGain(A$451:A$455,$K$451:$K$455)</f>
        <v>0.32192809488736229</v>
      </c>
      <c r="O92" s="14">
        <f t="shared" ref="O92:V92" si="11">infoGain(B$451:B$455,$K$451:$K$455)</f>
        <v>0</v>
      </c>
      <c r="P92" s="16">
        <f t="shared" si="11"/>
        <v>0.72192809488736231</v>
      </c>
      <c r="Q92" s="14">
        <f t="shared" si="11"/>
        <v>0.32192809488736229</v>
      </c>
      <c r="R92" s="14">
        <f t="shared" si="11"/>
        <v>0.72192809488736231</v>
      </c>
      <c r="S92" s="14">
        <f t="shared" si="11"/>
        <v>0</v>
      </c>
      <c r="T92" s="14">
        <f t="shared" si="11"/>
        <v>0.17095059445466865</v>
      </c>
      <c r="U92" s="14">
        <f t="shared" si="11"/>
        <v>0.72192809488736231</v>
      </c>
      <c r="V92" s="14">
        <f t="shared" si="11"/>
        <v>7.2905595320056027E-2</v>
      </c>
    </row>
    <row r="93" spans="1:22">
      <c r="A93" s="2">
        <v>1</v>
      </c>
      <c r="B93" s="2">
        <v>1</v>
      </c>
      <c r="C93" s="2">
        <v>1</v>
      </c>
      <c r="D93" s="2">
        <v>1</v>
      </c>
      <c r="E93" s="2">
        <v>2</v>
      </c>
      <c r="F93" s="2">
        <v>1</v>
      </c>
      <c r="G93" s="2">
        <v>2</v>
      </c>
      <c r="H93" s="2">
        <v>1</v>
      </c>
      <c r="I93" s="2">
        <v>1</v>
      </c>
      <c r="J93" s="2">
        <v>2</v>
      </c>
      <c r="K93" s="2" t="b">
        <f t="shared" si="8"/>
        <v>0</v>
      </c>
      <c r="M93" s="18" t="s">
        <v>35</v>
      </c>
      <c r="N93" s="18" t="str">
        <f>INDEX($N$2:$V$2,MATCH(MAX($N92:$V92),$N92:$V92,0))</f>
        <v xml:space="preserve"> uniformity_of_cell_shape</v>
      </c>
    </row>
    <row r="94" spans="1:22">
      <c r="A94" s="2">
        <v>1</v>
      </c>
      <c r="B94" s="2">
        <v>1</v>
      </c>
      <c r="C94" s="2">
        <v>1</v>
      </c>
      <c r="D94" s="2">
        <v>1</v>
      </c>
      <c r="E94" s="2">
        <v>1</v>
      </c>
      <c r="F94" s="2">
        <v>1</v>
      </c>
      <c r="G94" s="2">
        <v>3</v>
      </c>
      <c r="H94" s="2">
        <v>1</v>
      </c>
      <c r="I94" s="2">
        <v>1</v>
      </c>
      <c r="J94" s="2">
        <v>2</v>
      </c>
      <c r="K94" s="2" t="b">
        <f t="shared" si="8"/>
        <v>0</v>
      </c>
      <c r="M94" s="11" t="s">
        <v>73</v>
      </c>
      <c r="S94" s="17" t="s">
        <v>25</v>
      </c>
      <c r="T94" s="19">
        <f>COUNTIF($K$451:$K$451, "=TRUE")/COUNTA($K$451:$K$451)</f>
        <v>0</v>
      </c>
    </row>
    <row r="95" spans="1:22">
      <c r="A95" s="2">
        <v>3</v>
      </c>
      <c r="B95" s="2">
        <v>1</v>
      </c>
      <c r="C95" s="2">
        <v>1</v>
      </c>
      <c r="D95" s="2">
        <v>3</v>
      </c>
      <c r="E95" s="2">
        <v>1</v>
      </c>
      <c r="F95" s="2">
        <v>1</v>
      </c>
      <c r="G95" s="2">
        <v>3</v>
      </c>
      <c r="H95" s="2">
        <v>1</v>
      </c>
      <c r="I95" s="2">
        <v>1</v>
      </c>
      <c r="J95" s="2">
        <v>2</v>
      </c>
      <c r="K95" s="2" t="b">
        <f t="shared" si="8"/>
        <v>0</v>
      </c>
      <c r="N95" s="18" t="s">
        <v>39</v>
      </c>
    </row>
    <row r="96" spans="1:22">
      <c r="A96" s="2">
        <v>2</v>
      </c>
      <c r="B96" s="2">
        <v>1</v>
      </c>
      <c r="C96" s="2">
        <v>1</v>
      </c>
      <c r="D96" s="2">
        <v>1</v>
      </c>
      <c r="E96" s="2">
        <v>2</v>
      </c>
      <c r="F96" s="2">
        <v>1</v>
      </c>
      <c r="G96" s="2">
        <v>3</v>
      </c>
      <c r="H96" s="2">
        <v>1</v>
      </c>
      <c r="I96" s="2">
        <v>1</v>
      </c>
      <c r="J96" s="2">
        <v>2</v>
      </c>
      <c r="K96" s="2" t="b">
        <f t="shared" si="8"/>
        <v>0</v>
      </c>
      <c r="M96" s="11" t="s">
        <v>74</v>
      </c>
      <c r="S96" s="17" t="s">
        <v>25</v>
      </c>
      <c r="T96" s="19">
        <f>COUNTIF($K$452:$K$452, "=TRUE")/COUNTA($K$452:$K$452)</f>
        <v>0</v>
      </c>
    </row>
    <row r="97" spans="1:22">
      <c r="A97" s="2">
        <v>1</v>
      </c>
      <c r="B97" s="2">
        <v>1</v>
      </c>
      <c r="C97" s="2">
        <v>1</v>
      </c>
      <c r="D97" s="2">
        <v>1</v>
      </c>
      <c r="E97" s="2">
        <v>2</v>
      </c>
      <c r="F97" s="2">
        <v>1</v>
      </c>
      <c r="G97" s="2">
        <v>3</v>
      </c>
      <c r="H97" s="2">
        <v>1</v>
      </c>
      <c r="I97" s="2">
        <v>1</v>
      </c>
      <c r="J97" s="2">
        <v>2</v>
      </c>
      <c r="K97" s="2" t="b">
        <f t="shared" si="8"/>
        <v>0</v>
      </c>
      <c r="N97" s="18" t="s">
        <v>39</v>
      </c>
    </row>
    <row r="98" spans="1:22">
      <c r="A98" s="2">
        <v>4</v>
      </c>
      <c r="B98" s="2">
        <v>1</v>
      </c>
      <c r="C98" s="2">
        <v>1</v>
      </c>
      <c r="D98" s="2">
        <v>1</v>
      </c>
      <c r="E98" s="2">
        <v>2</v>
      </c>
      <c r="F98" s="2">
        <v>1</v>
      </c>
      <c r="G98" s="2">
        <v>3</v>
      </c>
      <c r="H98" s="2">
        <v>6</v>
      </c>
      <c r="I98" s="2">
        <v>1</v>
      </c>
      <c r="J98" s="2">
        <v>2</v>
      </c>
      <c r="K98" s="2" t="b">
        <f t="shared" si="8"/>
        <v>0</v>
      </c>
      <c r="M98" s="11" t="s">
        <v>75</v>
      </c>
      <c r="S98" s="17" t="s">
        <v>25</v>
      </c>
      <c r="T98" s="19">
        <f>COUNTIF($K$453:$K$454, "=TRUE")/COUNTA($K$453:$K$454)</f>
        <v>0</v>
      </c>
    </row>
    <row r="99" spans="1:22">
      <c r="A99" s="2">
        <v>3</v>
      </c>
      <c r="B99" s="2">
        <v>1</v>
      </c>
      <c r="C99" s="2">
        <v>1</v>
      </c>
      <c r="D99" s="2">
        <v>1</v>
      </c>
      <c r="E99" s="2">
        <v>2</v>
      </c>
      <c r="F99" s="2">
        <v>1</v>
      </c>
      <c r="G99" s="2">
        <v>1</v>
      </c>
      <c r="H99" s="2">
        <v>1</v>
      </c>
      <c r="I99" s="2">
        <v>1</v>
      </c>
      <c r="J99" s="2">
        <v>2</v>
      </c>
      <c r="K99" s="2" t="b">
        <f t="shared" si="8"/>
        <v>0</v>
      </c>
      <c r="N99" s="18" t="s">
        <v>39</v>
      </c>
    </row>
    <row r="100" spans="1:22">
      <c r="A100" s="2">
        <v>3</v>
      </c>
      <c r="B100" s="2">
        <v>1</v>
      </c>
      <c r="C100" s="2">
        <v>1</v>
      </c>
      <c r="D100" s="2">
        <v>1</v>
      </c>
      <c r="E100" s="2">
        <v>2</v>
      </c>
      <c r="F100" s="2">
        <v>1</v>
      </c>
      <c r="G100" s="2">
        <v>2</v>
      </c>
      <c r="H100" s="2">
        <v>1</v>
      </c>
      <c r="I100" s="2">
        <v>1</v>
      </c>
      <c r="J100" s="2">
        <v>2</v>
      </c>
      <c r="K100" s="2" t="b">
        <f t="shared" si="8"/>
        <v>0</v>
      </c>
      <c r="M100" s="11" t="s">
        <v>76</v>
      </c>
      <c r="S100" s="17" t="s">
        <v>25</v>
      </c>
      <c r="T100" s="19">
        <f>COUNTIF($K$455:$K$455, "=TRUE")/COUNTA($K$455:$K$455)</f>
        <v>1</v>
      </c>
    </row>
    <row r="101" spans="1:22">
      <c r="A101" s="2">
        <v>3</v>
      </c>
      <c r="B101" s="2">
        <v>1</v>
      </c>
      <c r="C101" s="2">
        <v>1</v>
      </c>
      <c r="D101" s="2">
        <v>1</v>
      </c>
      <c r="E101" s="2">
        <v>2</v>
      </c>
      <c r="F101" s="2">
        <v>1</v>
      </c>
      <c r="G101" s="2">
        <v>3</v>
      </c>
      <c r="H101" s="2">
        <v>1</v>
      </c>
      <c r="I101" s="2">
        <v>1</v>
      </c>
      <c r="J101" s="2">
        <v>2</v>
      </c>
      <c r="K101" s="2" t="b">
        <f t="shared" si="8"/>
        <v>0</v>
      </c>
      <c r="N101" s="18" t="s">
        <v>26</v>
      </c>
    </row>
    <row r="102" spans="1:22">
      <c r="A102" s="2">
        <v>5</v>
      </c>
      <c r="B102" s="2">
        <v>1</v>
      </c>
      <c r="C102" s="2">
        <v>4</v>
      </c>
      <c r="D102" s="2">
        <v>1</v>
      </c>
      <c r="E102" s="2">
        <v>2</v>
      </c>
      <c r="F102" s="2">
        <v>1</v>
      </c>
      <c r="G102" s="2">
        <v>3</v>
      </c>
      <c r="H102" s="2">
        <v>2</v>
      </c>
      <c r="I102" s="2">
        <v>1</v>
      </c>
      <c r="J102" s="2">
        <v>2</v>
      </c>
      <c r="K102" s="2" t="b">
        <f t="shared" si="8"/>
        <v>0</v>
      </c>
      <c r="M102" s="11" t="s">
        <v>41</v>
      </c>
      <c r="S102" s="17" t="s">
        <v>25</v>
      </c>
      <c r="T102" s="18">
        <f>COUNTIF($K$456:$K$461, "=TRUE")/COUNTA($K$456:$K$461)</f>
        <v>0.66666666666666663</v>
      </c>
    </row>
    <row r="103" spans="1:22">
      <c r="A103" s="2">
        <v>1</v>
      </c>
      <c r="B103" s="2">
        <v>1</v>
      </c>
      <c r="C103" s="2">
        <v>1</v>
      </c>
      <c r="D103" s="2">
        <v>1</v>
      </c>
      <c r="E103" s="2">
        <v>2</v>
      </c>
      <c r="F103" s="2">
        <v>1</v>
      </c>
      <c r="G103" s="2">
        <v>3</v>
      </c>
      <c r="H103" s="2">
        <v>1</v>
      </c>
      <c r="I103" s="2">
        <v>1</v>
      </c>
      <c r="J103" s="2">
        <v>2</v>
      </c>
      <c r="K103" s="2" t="b">
        <f t="shared" si="8"/>
        <v>0</v>
      </c>
      <c r="M103" t="s">
        <v>18</v>
      </c>
      <c r="N103" s="16">
        <f>infoGain(A$456:A$461,$K$456:$K$461)</f>
        <v>0.91829583405448956</v>
      </c>
      <c r="O103" s="14">
        <f t="shared" ref="O103:V103" si="12">infoGain(B$456:B$461,$K$456:$K$461)</f>
        <v>0</v>
      </c>
      <c r="P103" s="14">
        <f t="shared" si="12"/>
        <v>0.91829583405448956</v>
      </c>
      <c r="Q103" s="14">
        <f t="shared" si="12"/>
        <v>0.5849625007211563</v>
      </c>
      <c r="R103" s="14">
        <f t="shared" si="12"/>
        <v>4.4110417748401076E-2</v>
      </c>
      <c r="S103" s="14">
        <f t="shared" si="12"/>
        <v>0</v>
      </c>
      <c r="T103" s="14">
        <f t="shared" si="12"/>
        <v>0.25162916738782293</v>
      </c>
      <c r="U103" s="14">
        <f t="shared" si="12"/>
        <v>0.91829583405448956</v>
      </c>
      <c r="V103" s="14">
        <f t="shared" si="12"/>
        <v>0.25162916738782293</v>
      </c>
    </row>
    <row r="104" spans="1:22">
      <c r="A104" s="2">
        <v>5</v>
      </c>
      <c r="B104" s="2">
        <v>1</v>
      </c>
      <c r="C104" s="2">
        <v>1</v>
      </c>
      <c r="D104" s="2">
        <v>1</v>
      </c>
      <c r="E104" s="2">
        <v>2</v>
      </c>
      <c r="F104" s="2">
        <v>1</v>
      </c>
      <c r="G104" s="2">
        <v>3</v>
      </c>
      <c r="H104" s="2">
        <v>1</v>
      </c>
      <c r="I104" s="2">
        <v>1</v>
      </c>
      <c r="J104" s="2">
        <v>2</v>
      </c>
      <c r="K104" s="2" t="b">
        <f t="shared" si="8"/>
        <v>0</v>
      </c>
      <c r="M104" s="18" t="s">
        <v>35</v>
      </c>
      <c r="N104" s="18" t="str">
        <f>INDEX($N$2:$V$2,MATCH(MAX($N103:$V103),$N103:$V103,0))</f>
        <v>clump_thickness</v>
      </c>
    </row>
    <row r="105" spans="1:22">
      <c r="A105" s="2">
        <v>3</v>
      </c>
      <c r="B105" s="2">
        <v>1</v>
      </c>
      <c r="C105" s="2">
        <v>1</v>
      </c>
      <c r="D105" s="2">
        <v>1</v>
      </c>
      <c r="E105" s="2">
        <v>2</v>
      </c>
      <c r="F105" s="2">
        <v>1</v>
      </c>
      <c r="G105" s="2">
        <v>3</v>
      </c>
      <c r="H105" s="2">
        <v>2</v>
      </c>
      <c r="I105" s="2">
        <v>1</v>
      </c>
      <c r="J105" s="2">
        <v>2</v>
      </c>
      <c r="K105" s="2" t="b">
        <f t="shared" si="8"/>
        <v>0</v>
      </c>
      <c r="M105" s="11" t="s">
        <v>48</v>
      </c>
      <c r="S105" s="17" t="s">
        <v>25</v>
      </c>
      <c r="T105" s="19">
        <f>COUNTIF($K$456:$K$457, "=TRUE")/COUNTA($K$456:$K$457)</f>
        <v>0</v>
      </c>
    </row>
    <row r="106" spans="1:22">
      <c r="A106" s="2">
        <v>3</v>
      </c>
      <c r="B106" s="2">
        <v>1</v>
      </c>
      <c r="C106" s="2">
        <v>1</v>
      </c>
      <c r="D106" s="2">
        <v>1</v>
      </c>
      <c r="E106" s="2">
        <v>2</v>
      </c>
      <c r="F106" s="2">
        <v>1</v>
      </c>
      <c r="G106" s="2">
        <v>2</v>
      </c>
      <c r="H106" s="2">
        <v>1</v>
      </c>
      <c r="I106" s="2">
        <v>1</v>
      </c>
      <c r="J106" s="2">
        <v>2</v>
      </c>
      <c r="K106" s="2" t="b">
        <f t="shared" si="8"/>
        <v>0</v>
      </c>
      <c r="N106" s="18" t="s">
        <v>39</v>
      </c>
    </row>
    <row r="107" spans="1:22">
      <c r="A107" s="2">
        <v>1</v>
      </c>
      <c r="B107" s="2">
        <v>1</v>
      </c>
      <c r="C107" s="2">
        <v>1</v>
      </c>
      <c r="D107" s="2">
        <v>1</v>
      </c>
      <c r="E107" s="2">
        <v>2</v>
      </c>
      <c r="F107" s="2">
        <v>1</v>
      </c>
      <c r="G107" s="2">
        <v>2</v>
      </c>
      <c r="H107" s="2">
        <v>1</v>
      </c>
      <c r="I107" s="2">
        <v>1</v>
      </c>
      <c r="J107" s="2">
        <v>2</v>
      </c>
      <c r="K107" s="2" t="b">
        <f t="shared" si="8"/>
        <v>0</v>
      </c>
      <c r="M107" s="11" t="s">
        <v>50</v>
      </c>
      <c r="S107" s="17" t="s">
        <v>25</v>
      </c>
      <c r="T107" s="19">
        <f>COUNTIF($K$458:$K$460, "=TRUE")/COUNTA($K$458:$K$460)</f>
        <v>1</v>
      </c>
    </row>
    <row r="108" spans="1:22">
      <c r="A108" s="2">
        <v>1</v>
      </c>
      <c r="B108" s="2">
        <v>1</v>
      </c>
      <c r="C108" s="2">
        <v>1</v>
      </c>
      <c r="D108" s="2">
        <v>1</v>
      </c>
      <c r="E108" s="2">
        <v>2</v>
      </c>
      <c r="F108" s="2">
        <v>1</v>
      </c>
      <c r="G108" s="2">
        <v>3</v>
      </c>
      <c r="H108" s="2">
        <v>1</v>
      </c>
      <c r="I108" s="2">
        <v>1</v>
      </c>
      <c r="J108" s="2">
        <v>2</v>
      </c>
      <c r="K108" s="2" t="b">
        <f t="shared" si="8"/>
        <v>0</v>
      </c>
      <c r="N108" s="18" t="s">
        <v>26</v>
      </c>
    </row>
    <row r="109" spans="1:22">
      <c r="A109" s="2">
        <v>3</v>
      </c>
      <c r="B109" s="2">
        <v>1</v>
      </c>
      <c r="C109" s="2">
        <v>1</v>
      </c>
      <c r="D109" s="2">
        <v>1</v>
      </c>
      <c r="E109" s="2">
        <v>2</v>
      </c>
      <c r="F109" s="2">
        <v>1</v>
      </c>
      <c r="G109" s="2">
        <v>3</v>
      </c>
      <c r="H109" s="2">
        <v>1</v>
      </c>
      <c r="I109" s="2">
        <v>1</v>
      </c>
      <c r="J109" s="2">
        <v>2</v>
      </c>
      <c r="K109" s="2" t="b">
        <f t="shared" si="8"/>
        <v>0</v>
      </c>
      <c r="M109" s="11" t="s">
        <v>69</v>
      </c>
      <c r="S109" s="17" t="s">
        <v>25</v>
      </c>
      <c r="T109" s="19">
        <f>COUNTIF($K$461:$K$461, "=TRUE")/COUNTA($K$461:$K$461)</f>
        <v>1</v>
      </c>
    </row>
    <row r="110" spans="1:22">
      <c r="A110" s="2">
        <v>2</v>
      </c>
      <c r="B110" s="2">
        <v>1</v>
      </c>
      <c r="C110" s="2">
        <v>1</v>
      </c>
      <c r="D110" s="2">
        <v>2</v>
      </c>
      <c r="E110" s="2">
        <v>2</v>
      </c>
      <c r="F110" s="2">
        <v>1</v>
      </c>
      <c r="G110" s="2">
        <v>3</v>
      </c>
      <c r="H110" s="2">
        <v>1</v>
      </c>
      <c r="I110" s="2">
        <v>1</v>
      </c>
      <c r="J110" s="2">
        <v>2</v>
      </c>
      <c r="K110" s="2" t="b">
        <f t="shared" si="8"/>
        <v>0</v>
      </c>
      <c r="N110" s="18" t="s">
        <v>26</v>
      </c>
    </row>
    <row r="111" spans="1:22">
      <c r="A111" s="2">
        <v>3</v>
      </c>
      <c r="B111" s="2">
        <v>1</v>
      </c>
      <c r="C111" s="2">
        <v>1</v>
      </c>
      <c r="D111" s="2">
        <v>1</v>
      </c>
      <c r="E111" s="2">
        <v>3</v>
      </c>
      <c r="F111" s="2">
        <v>1</v>
      </c>
      <c r="G111" s="2">
        <v>2</v>
      </c>
      <c r="H111" s="2">
        <v>1</v>
      </c>
      <c r="I111" s="2">
        <v>1</v>
      </c>
      <c r="J111" s="2">
        <v>2</v>
      </c>
      <c r="K111" s="2" t="b">
        <f t="shared" si="8"/>
        <v>0</v>
      </c>
      <c r="M111" s="11" t="s">
        <v>42</v>
      </c>
      <c r="S111" s="17" t="s">
        <v>25</v>
      </c>
      <c r="T111" s="19">
        <f>COUNTIF($K$462:$K$463, "=TRUE")/COUNTA($K$462:$K$463)</f>
        <v>1</v>
      </c>
    </row>
    <row r="112" spans="1:22">
      <c r="A112" s="2">
        <v>1</v>
      </c>
      <c r="B112" s="2">
        <v>1</v>
      </c>
      <c r="C112" s="2">
        <v>1</v>
      </c>
      <c r="D112" s="2">
        <v>1</v>
      </c>
      <c r="E112" s="2">
        <v>2</v>
      </c>
      <c r="F112" s="2">
        <v>1</v>
      </c>
      <c r="G112" s="2">
        <v>1</v>
      </c>
      <c r="H112" s="2">
        <v>1</v>
      </c>
      <c r="I112" s="2">
        <v>1</v>
      </c>
      <c r="J112" s="2">
        <v>2</v>
      </c>
      <c r="K112" s="2" t="b">
        <f t="shared" si="8"/>
        <v>0</v>
      </c>
      <c r="N112" s="18" t="s">
        <v>26</v>
      </c>
    </row>
    <row r="113" spans="1:22">
      <c r="A113" s="2">
        <v>1</v>
      </c>
      <c r="B113" s="2">
        <v>1</v>
      </c>
      <c r="C113" s="2">
        <v>1</v>
      </c>
      <c r="D113" s="2">
        <v>1</v>
      </c>
      <c r="E113" s="2">
        <v>2</v>
      </c>
      <c r="F113" s="2">
        <v>1</v>
      </c>
      <c r="G113" s="2">
        <v>3</v>
      </c>
      <c r="H113" s="2">
        <v>1</v>
      </c>
      <c r="I113" s="2">
        <v>1</v>
      </c>
      <c r="J113" s="2">
        <v>2</v>
      </c>
      <c r="K113" s="2" t="b">
        <f t="shared" si="8"/>
        <v>0</v>
      </c>
      <c r="M113" s="11" t="s">
        <v>44</v>
      </c>
      <c r="S113" s="17" t="s">
        <v>25</v>
      </c>
      <c r="T113" s="18">
        <f>COUNTIF($K$464:$K$467, "=TRUE")/COUNTA($K$464:$K$467)</f>
        <v>0.75</v>
      </c>
    </row>
    <row r="114" spans="1:22">
      <c r="A114" s="2">
        <v>1</v>
      </c>
      <c r="B114" s="2">
        <v>1</v>
      </c>
      <c r="C114" s="2">
        <v>1</v>
      </c>
      <c r="D114" s="2">
        <v>1</v>
      </c>
      <c r="E114" s="2">
        <v>2</v>
      </c>
      <c r="F114" s="2">
        <v>1</v>
      </c>
      <c r="G114" s="2">
        <v>3</v>
      </c>
      <c r="H114" s="2">
        <v>1</v>
      </c>
      <c r="I114" s="2">
        <v>1</v>
      </c>
      <c r="J114" s="2">
        <v>2</v>
      </c>
      <c r="K114" s="2" t="b">
        <f t="shared" si="8"/>
        <v>0</v>
      </c>
      <c r="M114" s="26" t="s">
        <v>18</v>
      </c>
      <c r="N114" s="16">
        <f>infoGain(A$464:A$467,$K$464:$K$467)</f>
        <v>0.81127812445913283</v>
      </c>
      <c r="O114" s="21">
        <f t="shared" ref="O114:V114" si="13">infoGain(B$464:B$467,$K$464:$K$467)</f>
        <v>0</v>
      </c>
      <c r="P114" s="21">
        <f t="shared" si="13"/>
        <v>0.31127812445913283</v>
      </c>
      <c r="Q114" s="21">
        <f t="shared" si="13"/>
        <v>0.81127812445913283</v>
      </c>
      <c r="R114" s="21">
        <f t="shared" si="13"/>
        <v>0.81127812445913283</v>
      </c>
      <c r="S114" s="21">
        <f t="shared" si="13"/>
        <v>0</v>
      </c>
      <c r="T114" s="21">
        <f t="shared" si="13"/>
        <v>0.31127812445913283</v>
      </c>
      <c r="U114" s="21">
        <f t="shared" si="13"/>
        <v>0.81127812445913283</v>
      </c>
      <c r="V114" s="21">
        <f t="shared" si="13"/>
        <v>0.31127812445913283</v>
      </c>
    </row>
    <row r="115" spans="1:22">
      <c r="A115" s="2">
        <v>1</v>
      </c>
      <c r="B115" s="2">
        <v>1</v>
      </c>
      <c r="C115" s="2">
        <v>1</v>
      </c>
      <c r="D115" s="2">
        <v>1</v>
      </c>
      <c r="E115" s="2">
        <v>2</v>
      </c>
      <c r="F115" s="2">
        <v>1</v>
      </c>
      <c r="G115" s="2">
        <v>3</v>
      </c>
      <c r="H115" s="2">
        <v>1</v>
      </c>
      <c r="I115" s="2">
        <v>1</v>
      </c>
      <c r="J115" s="2">
        <v>2</v>
      </c>
      <c r="K115" s="2" t="b">
        <f t="shared" si="8"/>
        <v>0</v>
      </c>
      <c r="M115" s="18" t="s">
        <v>35</v>
      </c>
      <c r="N115" s="18" t="str">
        <f>INDEX($N$2:$V$2,MATCH(MAX($N114:$V114),$N114:$V114,0))</f>
        <v>clump_thickness</v>
      </c>
      <c r="S115" s="17"/>
      <c r="T115" s="18"/>
    </row>
    <row r="116" spans="1:22">
      <c r="A116" s="2">
        <v>1</v>
      </c>
      <c r="B116" s="2">
        <v>1</v>
      </c>
      <c r="C116" s="2">
        <v>1</v>
      </c>
      <c r="D116" s="2">
        <v>1</v>
      </c>
      <c r="E116" s="2">
        <v>2</v>
      </c>
      <c r="F116" s="2">
        <v>1</v>
      </c>
      <c r="G116" s="2">
        <v>3</v>
      </c>
      <c r="H116" s="2">
        <v>1</v>
      </c>
      <c r="I116" s="2">
        <v>1</v>
      </c>
      <c r="J116" s="2">
        <v>2</v>
      </c>
      <c r="K116" s="2" t="b">
        <f t="shared" si="8"/>
        <v>0</v>
      </c>
      <c r="M116" s="11" t="s">
        <v>47</v>
      </c>
      <c r="S116" s="17" t="s">
        <v>25</v>
      </c>
      <c r="T116" s="19">
        <f>COUNTIF($K$464:$K$464, "=TRUE")/COUNTA($K$464:$K$464)</f>
        <v>1</v>
      </c>
    </row>
    <row r="117" spans="1:22">
      <c r="A117" s="2">
        <v>1</v>
      </c>
      <c r="B117" s="2">
        <v>1</v>
      </c>
      <c r="C117" s="2">
        <v>1</v>
      </c>
      <c r="D117" s="2">
        <v>1</v>
      </c>
      <c r="E117" s="2">
        <v>2</v>
      </c>
      <c r="F117" s="2">
        <v>1</v>
      </c>
      <c r="G117" s="2">
        <v>3</v>
      </c>
      <c r="H117" s="2">
        <v>1</v>
      </c>
      <c r="I117" s="2">
        <v>1</v>
      </c>
      <c r="J117" s="2">
        <v>2</v>
      </c>
      <c r="K117" s="2" t="b">
        <f t="shared" si="8"/>
        <v>0</v>
      </c>
      <c r="M117" s="11"/>
      <c r="N117" s="18" t="s">
        <v>26</v>
      </c>
      <c r="S117" s="17"/>
      <c r="T117" s="18"/>
    </row>
    <row r="118" spans="1:22">
      <c r="A118" s="2">
        <v>2</v>
      </c>
      <c r="B118" s="2">
        <v>1</v>
      </c>
      <c r="C118" s="2">
        <v>1</v>
      </c>
      <c r="D118" s="2">
        <v>1</v>
      </c>
      <c r="E118" s="2">
        <v>3</v>
      </c>
      <c r="F118" s="2">
        <v>1</v>
      </c>
      <c r="G118" s="2">
        <v>2</v>
      </c>
      <c r="H118" s="2">
        <v>1</v>
      </c>
      <c r="I118" s="2">
        <v>1</v>
      </c>
      <c r="J118" s="2">
        <v>2</v>
      </c>
      <c r="K118" s="2" t="b">
        <f t="shared" si="8"/>
        <v>0</v>
      </c>
      <c r="M118" s="11" t="s">
        <v>50</v>
      </c>
      <c r="S118" s="17" t="s">
        <v>25</v>
      </c>
      <c r="T118" s="19">
        <f>COUNTIF($K$465:$K$465, "=TRUE")/COUNTA($K$465:$K$465)</f>
        <v>0</v>
      </c>
    </row>
    <row r="119" spans="1:22">
      <c r="A119" s="2">
        <v>1</v>
      </c>
      <c r="B119" s="2">
        <v>1</v>
      </c>
      <c r="C119" s="2">
        <v>1</v>
      </c>
      <c r="D119" s="2">
        <v>1</v>
      </c>
      <c r="E119" s="2">
        <v>2</v>
      </c>
      <c r="F119" s="2">
        <v>1</v>
      </c>
      <c r="G119" s="2">
        <v>1</v>
      </c>
      <c r="H119" s="2">
        <v>1</v>
      </c>
      <c r="I119" s="2">
        <v>1</v>
      </c>
      <c r="J119" s="2">
        <v>2</v>
      </c>
      <c r="K119" s="2" t="b">
        <f t="shared" si="8"/>
        <v>0</v>
      </c>
      <c r="M119" s="11"/>
      <c r="N119" s="18" t="s">
        <v>39</v>
      </c>
      <c r="S119" s="17"/>
      <c r="T119" s="18"/>
    </row>
    <row r="120" spans="1:22">
      <c r="A120" s="2">
        <v>1</v>
      </c>
      <c r="B120" s="2">
        <v>1</v>
      </c>
      <c r="C120" s="2">
        <v>1</v>
      </c>
      <c r="D120" s="2">
        <v>1</v>
      </c>
      <c r="E120" s="2">
        <v>2</v>
      </c>
      <c r="F120" s="2">
        <v>1</v>
      </c>
      <c r="G120" s="2">
        <v>1</v>
      </c>
      <c r="H120" s="2">
        <v>1</v>
      </c>
      <c r="I120" s="2">
        <v>1</v>
      </c>
      <c r="J120" s="2">
        <v>2</v>
      </c>
      <c r="K120" s="2" t="b">
        <f t="shared" si="8"/>
        <v>0</v>
      </c>
      <c r="M120" s="11" t="s">
        <v>53</v>
      </c>
      <c r="S120" s="17" t="s">
        <v>25</v>
      </c>
      <c r="T120" s="19">
        <f>COUNTIF($K$466:$K$467, "=TRUE")/COUNTA($K$466:$K$467)</f>
        <v>1</v>
      </c>
    </row>
    <row r="121" spans="1:22">
      <c r="A121" s="2">
        <v>1</v>
      </c>
      <c r="B121" s="2">
        <v>1</v>
      </c>
      <c r="C121" s="2">
        <v>1</v>
      </c>
      <c r="D121" s="2">
        <v>1</v>
      </c>
      <c r="E121" s="2">
        <v>1</v>
      </c>
      <c r="F121" s="2">
        <v>1</v>
      </c>
      <c r="G121" s="2">
        <v>2</v>
      </c>
      <c r="H121" s="2">
        <v>1</v>
      </c>
      <c r="I121" s="2">
        <v>1</v>
      </c>
      <c r="J121" s="2">
        <v>2</v>
      </c>
      <c r="K121" s="2" t="b">
        <f t="shared" si="8"/>
        <v>0</v>
      </c>
      <c r="N121" s="18" t="s">
        <v>26</v>
      </c>
    </row>
    <row r="122" spans="1:22">
      <c r="A122" s="2">
        <v>1</v>
      </c>
      <c r="B122" s="2">
        <v>1</v>
      </c>
      <c r="C122" s="2">
        <v>1</v>
      </c>
      <c r="D122" s="2">
        <v>1</v>
      </c>
      <c r="E122" s="2">
        <v>5</v>
      </c>
      <c r="F122" s="2">
        <v>1</v>
      </c>
      <c r="G122" s="2">
        <v>3</v>
      </c>
      <c r="H122" s="2">
        <v>1</v>
      </c>
      <c r="I122" s="2">
        <v>1</v>
      </c>
      <c r="J122" s="2">
        <v>2</v>
      </c>
      <c r="K122" s="2" t="b">
        <f t="shared" si="8"/>
        <v>0</v>
      </c>
      <c r="M122" s="11" t="s">
        <v>70</v>
      </c>
      <c r="S122" s="17" t="s">
        <v>25</v>
      </c>
      <c r="T122" s="19">
        <f>COUNTIF($K$468:$K$468, "=TRUE")/COUNTA($K$468:$K$468)</f>
        <v>1</v>
      </c>
    </row>
    <row r="123" spans="1:22">
      <c r="A123" s="2">
        <v>3</v>
      </c>
      <c r="B123" s="2">
        <v>1</v>
      </c>
      <c r="C123" s="2">
        <v>1</v>
      </c>
      <c r="D123" s="2">
        <v>1</v>
      </c>
      <c r="E123" s="2">
        <v>2</v>
      </c>
      <c r="F123" s="2">
        <v>1</v>
      </c>
      <c r="G123" s="2">
        <v>3</v>
      </c>
      <c r="H123" s="2">
        <v>1</v>
      </c>
      <c r="I123" s="2">
        <v>1</v>
      </c>
      <c r="J123" s="2">
        <v>2</v>
      </c>
      <c r="K123" s="2" t="b">
        <f t="shared" si="8"/>
        <v>0</v>
      </c>
      <c r="N123" s="18" t="s">
        <v>26</v>
      </c>
    </row>
    <row r="124" spans="1:22">
      <c r="A124" s="2">
        <v>1</v>
      </c>
      <c r="B124" s="2">
        <v>1</v>
      </c>
      <c r="C124" s="2">
        <v>1</v>
      </c>
      <c r="D124" s="2">
        <v>1</v>
      </c>
      <c r="E124" s="2">
        <v>2</v>
      </c>
      <c r="F124" s="2">
        <v>1</v>
      </c>
      <c r="G124" s="2">
        <v>3</v>
      </c>
      <c r="H124" s="2">
        <v>1</v>
      </c>
      <c r="I124" s="2">
        <v>1</v>
      </c>
      <c r="J124" s="2">
        <v>2</v>
      </c>
      <c r="K124" s="2" t="b">
        <f t="shared" si="8"/>
        <v>0</v>
      </c>
      <c r="M124" s="11" t="s">
        <v>71</v>
      </c>
      <c r="S124" s="17" t="s">
        <v>25</v>
      </c>
      <c r="T124" s="19">
        <f>COUNTIF($K$469:$K$469, "=TRUE")/COUNTA($K$469:$K$469)</f>
        <v>1</v>
      </c>
    </row>
    <row r="125" spans="1:22">
      <c r="A125" s="2">
        <v>1</v>
      </c>
      <c r="B125" s="2">
        <v>1</v>
      </c>
      <c r="C125" s="2">
        <v>1</v>
      </c>
      <c r="D125" s="2">
        <v>1</v>
      </c>
      <c r="E125" s="2">
        <v>2</v>
      </c>
      <c r="F125" s="2">
        <v>1</v>
      </c>
      <c r="G125" s="2">
        <v>2</v>
      </c>
      <c r="H125" s="2">
        <v>1</v>
      </c>
      <c r="I125" s="2">
        <v>1</v>
      </c>
      <c r="J125" s="2">
        <v>2</v>
      </c>
      <c r="K125" s="2" t="b">
        <f t="shared" si="8"/>
        <v>0</v>
      </c>
      <c r="N125" s="18" t="s">
        <v>26</v>
      </c>
    </row>
    <row r="126" spans="1:22">
      <c r="A126" s="2">
        <v>5</v>
      </c>
      <c r="B126" s="2">
        <v>1</v>
      </c>
      <c r="C126" s="2">
        <v>1</v>
      </c>
      <c r="D126" s="2">
        <v>1</v>
      </c>
      <c r="E126" s="2">
        <v>2</v>
      </c>
      <c r="F126" s="2">
        <v>1</v>
      </c>
      <c r="G126" s="2">
        <v>3</v>
      </c>
      <c r="H126" s="2">
        <v>1</v>
      </c>
      <c r="I126" s="2">
        <v>2</v>
      </c>
      <c r="J126" s="2">
        <v>2</v>
      </c>
      <c r="K126" s="2" t="b">
        <f t="shared" si="8"/>
        <v>0</v>
      </c>
      <c r="M126" s="11" t="s">
        <v>72</v>
      </c>
      <c r="S126" s="17" t="s">
        <v>25</v>
      </c>
      <c r="T126" s="19">
        <f>COUNTIF($K$470:$K$470, "=TRUE")/COUNTA($K$470:$K$470)</f>
        <v>1</v>
      </c>
    </row>
    <row r="127" spans="1:22">
      <c r="A127" s="2">
        <v>1</v>
      </c>
      <c r="B127" s="2">
        <v>1</v>
      </c>
      <c r="C127" s="2">
        <v>1</v>
      </c>
      <c r="D127" s="2">
        <v>1</v>
      </c>
      <c r="E127" s="2">
        <v>2</v>
      </c>
      <c r="F127" s="2">
        <v>1</v>
      </c>
      <c r="G127" s="2">
        <v>1</v>
      </c>
      <c r="H127" s="2">
        <v>1</v>
      </c>
      <c r="I127" s="2">
        <v>1</v>
      </c>
      <c r="J127" s="2">
        <v>2</v>
      </c>
      <c r="K127" s="2" t="b">
        <f t="shared" si="8"/>
        <v>0</v>
      </c>
      <c r="N127" s="18" t="s">
        <v>26</v>
      </c>
    </row>
    <row r="128" spans="1:22">
      <c r="A128" s="2">
        <v>1</v>
      </c>
      <c r="B128" s="2">
        <v>1</v>
      </c>
      <c r="C128" s="2">
        <v>1</v>
      </c>
      <c r="D128" s="2">
        <v>1</v>
      </c>
      <c r="E128" s="2">
        <v>2</v>
      </c>
      <c r="F128" s="2">
        <v>1</v>
      </c>
      <c r="G128" s="2">
        <v>3</v>
      </c>
      <c r="H128" s="2">
        <v>1</v>
      </c>
      <c r="I128" s="2">
        <v>1</v>
      </c>
      <c r="J128" s="2">
        <v>2</v>
      </c>
      <c r="K128" s="2" t="b">
        <f t="shared" si="8"/>
        <v>0</v>
      </c>
      <c r="M128" s="11" t="s">
        <v>43</v>
      </c>
      <c r="S128" s="17" t="s">
        <v>25</v>
      </c>
      <c r="T128" s="18">
        <f>COUNTIF($K$471:$K$483, "=TRUE")/COUNTA($K$471:$K$483)</f>
        <v>0.92307692307692313</v>
      </c>
    </row>
    <row r="129" spans="1:22">
      <c r="A129" s="2">
        <v>1</v>
      </c>
      <c r="B129" s="2">
        <v>1</v>
      </c>
      <c r="C129" s="2">
        <v>1</v>
      </c>
      <c r="D129" s="2">
        <v>1</v>
      </c>
      <c r="E129" s="2">
        <v>1</v>
      </c>
      <c r="F129" s="2">
        <v>1</v>
      </c>
      <c r="G129" s="2">
        <v>2</v>
      </c>
      <c r="H129" s="2">
        <v>1</v>
      </c>
      <c r="I129" s="2">
        <v>1</v>
      </c>
      <c r="J129" s="2">
        <v>2</v>
      </c>
      <c r="K129" s="2" t="b">
        <f t="shared" si="8"/>
        <v>0</v>
      </c>
      <c r="M129" t="s">
        <v>18</v>
      </c>
      <c r="N129" s="16">
        <f>infoGain(A$471:A$483,$K$471:$K$483)</f>
        <v>0.3912435636292555</v>
      </c>
      <c r="O129" s="21">
        <f t="shared" ref="O129:V129" si="14">infoGain(B$471:B$483,$K$471:$K$483)</f>
        <v>-1.6653345369377348E-16</v>
      </c>
      <c r="P129" s="21">
        <f t="shared" si="14"/>
        <v>0.14161952533413769</v>
      </c>
      <c r="Q129" s="21">
        <f t="shared" si="14"/>
        <v>0.23739740978310164</v>
      </c>
      <c r="R129" s="21">
        <f t="shared" si="14"/>
        <v>0.11357891174950074</v>
      </c>
      <c r="S129" s="21">
        <f t="shared" si="14"/>
        <v>-1.6653345369377348E-16</v>
      </c>
      <c r="T129" s="21">
        <f t="shared" si="14"/>
        <v>0.17932914038591174</v>
      </c>
      <c r="U129" s="21">
        <f t="shared" si="14"/>
        <v>0.3912435636292555</v>
      </c>
      <c r="V129" s="21">
        <f t="shared" si="14"/>
        <v>0.23739740978310164</v>
      </c>
    </row>
    <row r="130" spans="1:22">
      <c r="A130" s="2">
        <v>1</v>
      </c>
      <c r="B130" s="2">
        <v>1</v>
      </c>
      <c r="C130" s="2">
        <v>1</v>
      </c>
      <c r="D130" s="2">
        <v>1</v>
      </c>
      <c r="E130" s="2">
        <v>2</v>
      </c>
      <c r="F130" s="2">
        <v>1</v>
      </c>
      <c r="G130" s="2">
        <v>3</v>
      </c>
      <c r="H130" s="2">
        <v>1</v>
      </c>
      <c r="I130" s="2">
        <v>1</v>
      </c>
      <c r="J130" s="2">
        <v>2</v>
      </c>
      <c r="K130" s="2" t="b">
        <f t="shared" si="8"/>
        <v>0</v>
      </c>
      <c r="M130" s="18" t="s">
        <v>35</v>
      </c>
      <c r="N130" s="18" t="str">
        <f>INDEX($N$2:$V$2,MATCH(MAX($N129:$V129),$N129:$V129,0))</f>
        <v>clump_thickness</v>
      </c>
    </row>
    <row r="131" spans="1:22">
      <c r="A131" s="2">
        <v>2</v>
      </c>
      <c r="B131" s="2">
        <v>1</v>
      </c>
      <c r="C131" s="2">
        <v>1</v>
      </c>
      <c r="D131" s="2">
        <v>1</v>
      </c>
      <c r="E131" s="2">
        <v>2</v>
      </c>
      <c r="F131" s="2">
        <v>1</v>
      </c>
      <c r="G131" s="2">
        <v>1</v>
      </c>
      <c r="H131" s="2">
        <v>1</v>
      </c>
      <c r="I131" s="2">
        <v>1</v>
      </c>
      <c r="J131" s="2">
        <v>2</v>
      </c>
      <c r="K131" s="2" t="b">
        <f t="shared" ref="K131:K194" si="15">IF(J131=4, TRUE, FALSE)</f>
        <v>0</v>
      </c>
      <c r="M131" s="11" t="s">
        <v>48</v>
      </c>
      <c r="S131" s="17" t="s">
        <v>25</v>
      </c>
      <c r="T131" s="19">
        <f>COUNTIF($K$471:$K$472, "=TRUE")/COUNTA($K$471:$K$472)</f>
        <v>1</v>
      </c>
    </row>
    <row r="132" spans="1:22">
      <c r="A132" s="2">
        <v>1</v>
      </c>
      <c r="B132" s="2">
        <v>1</v>
      </c>
      <c r="C132" s="2">
        <v>1</v>
      </c>
      <c r="D132" s="2">
        <v>1</v>
      </c>
      <c r="E132" s="2">
        <v>2</v>
      </c>
      <c r="F132" s="2">
        <v>1</v>
      </c>
      <c r="G132" s="2">
        <v>1</v>
      </c>
      <c r="H132" s="2">
        <v>1</v>
      </c>
      <c r="I132" s="2">
        <v>1</v>
      </c>
      <c r="J132" s="2">
        <v>2</v>
      </c>
      <c r="K132" s="2" t="b">
        <f t="shared" si="15"/>
        <v>0</v>
      </c>
      <c r="N132" s="18" t="s">
        <v>26</v>
      </c>
    </row>
    <row r="133" spans="1:22">
      <c r="A133" s="2">
        <v>1</v>
      </c>
      <c r="B133" s="2">
        <v>1</v>
      </c>
      <c r="C133" s="2">
        <v>1</v>
      </c>
      <c r="D133" s="2">
        <v>1</v>
      </c>
      <c r="E133" s="2">
        <v>2</v>
      </c>
      <c r="F133" s="2">
        <v>1</v>
      </c>
      <c r="G133" s="2">
        <v>1</v>
      </c>
      <c r="H133" s="2">
        <v>1</v>
      </c>
      <c r="I133" s="2">
        <v>1</v>
      </c>
      <c r="J133" s="2">
        <v>2</v>
      </c>
      <c r="K133" s="2" t="b">
        <f t="shared" si="15"/>
        <v>0</v>
      </c>
      <c r="M133" s="11" t="s">
        <v>50</v>
      </c>
      <c r="S133" s="17" t="s">
        <v>25</v>
      </c>
      <c r="T133" s="19">
        <f>COUNTIF($K$473:$K$476, "=TRUE")/COUNTA($K$473:$K$476)</f>
        <v>1</v>
      </c>
    </row>
    <row r="134" spans="1:22">
      <c r="A134" s="2">
        <v>1</v>
      </c>
      <c r="B134" s="2">
        <v>1</v>
      </c>
      <c r="C134" s="2">
        <v>1</v>
      </c>
      <c r="D134" s="2">
        <v>1</v>
      </c>
      <c r="E134" s="2">
        <v>1</v>
      </c>
      <c r="F134" s="2">
        <v>1</v>
      </c>
      <c r="G134" s="2">
        <v>1</v>
      </c>
      <c r="H134" s="2">
        <v>3</v>
      </c>
      <c r="I134" s="2">
        <v>1</v>
      </c>
      <c r="J134" s="2">
        <v>2</v>
      </c>
      <c r="K134" s="2" t="b">
        <f t="shared" si="15"/>
        <v>0</v>
      </c>
      <c r="M134" s="11"/>
      <c r="N134" s="18" t="s">
        <v>26</v>
      </c>
    </row>
    <row r="135" spans="1:22">
      <c r="A135" s="2">
        <v>5</v>
      </c>
      <c r="B135" s="2">
        <v>1</v>
      </c>
      <c r="C135" s="2">
        <v>1</v>
      </c>
      <c r="D135" s="2">
        <v>3</v>
      </c>
      <c r="E135" s="2">
        <v>2</v>
      </c>
      <c r="F135" s="2">
        <v>1</v>
      </c>
      <c r="G135" s="2">
        <v>1</v>
      </c>
      <c r="H135" s="2">
        <v>1</v>
      </c>
      <c r="I135" s="2">
        <v>1</v>
      </c>
      <c r="J135" s="2">
        <v>2</v>
      </c>
      <c r="K135" s="2" t="b">
        <f t="shared" si="15"/>
        <v>0</v>
      </c>
      <c r="M135" s="11" t="s">
        <v>51</v>
      </c>
      <c r="S135" s="17" t="s">
        <v>25</v>
      </c>
      <c r="T135" s="19">
        <f>COUNTIF($K$477:$K$477, "=TRUE")/COUNTA($K$477:$K$477)</f>
        <v>0</v>
      </c>
    </row>
    <row r="136" spans="1:22">
      <c r="A136" s="2">
        <v>2</v>
      </c>
      <c r="B136" s="2">
        <v>1</v>
      </c>
      <c r="C136" s="2">
        <v>1</v>
      </c>
      <c r="D136" s="2">
        <v>1</v>
      </c>
      <c r="E136" s="2">
        <v>2</v>
      </c>
      <c r="F136" s="2">
        <v>1</v>
      </c>
      <c r="G136" s="2">
        <v>3</v>
      </c>
      <c r="H136" s="2">
        <v>1</v>
      </c>
      <c r="I136" s="2">
        <v>1</v>
      </c>
      <c r="J136" s="2">
        <v>2</v>
      </c>
      <c r="K136" s="2" t="b">
        <f t="shared" si="15"/>
        <v>0</v>
      </c>
      <c r="N136" s="18" t="s">
        <v>39</v>
      </c>
    </row>
    <row r="137" spans="1:22">
      <c r="A137" s="2">
        <v>1</v>
      </c>
      <c r="B137" s="2">
        <v>1</v>
      </c>
      <c r="C137" s="2">
        <v>1</v>
      </c>
      <c r="D137" s="2">
        <v>1</v>
      </c>
      <c r="E137" s="2">
        <v>2</v>
      </c>
      <c r="F137" s="2">
        <v>1</v>
      </c>
      <c r="G137" s="2">
        <v>2</v>
      </c>
      <c r="H137" s="2">
        <v>1</v>
      </c>
      <c r="I137" s="2">
        <v>1</v>
      </c>
      <c r="J137" s="2">
        <v>2</v>
      </c>
      <c r="K137" s="2" t="b">
        <f t="shared" si="15"/>
        <v>0</v>
      </c>
      <c r="M137" s="11" t="s">
        <v>69</v>
      </c>
      <c r="S137" s="17" t="s">
        <v>25</v>
      </c>
      <c r="T137" s="19">
        <f>COUNTIF($K$478:$K$478, "=TRUE")/COUNTA($K$478:$K$478)</f>
        <v>1</v>
      </c>
    </row>
    <row r="138" spans="1:22">
      <c r="A138" s="2">
        <v>4</v>
      </c>
      <c r="B138" s="2">
        <v>1</v>
      </c>
      <c r="C138" s="2">
        <v>1</v>
      </c>
      <c r="D138" s="2">
        <v>1</v>
      </c>
      <c r="E138" s="2">
        <v>3</v>
      </c>
      <c r="F138" s="2">
        <v>1</v>
      </c>
      <c r="G138" s="2">
        <v>2</v>
      </c>
      <c r="H138" s="2">
        <v>2</v>
      </c>
      <c r="I138" s="2">
        <v>1</v>
      </c>
      <c r="J138" s="2">
        <v>2</v>
      </c>
      <c r="K138" s="2" t="b">
        <f t="shared" si="15"/>
        <v>0</v>
      </c>
      <c r="N138" s="18" t="s">
        <v>26</v>
      </c>
    </row>
    <row r="139" spans="1:22">
      <c r="A139" s="2">
        <v>2</v>
      </c>
      <c r="B139" s="2">
        <v>1</v>
      </c>
      <c r="C139" s="2">
        <v>1</v>
      </c>
      <c r="D139" s="2">
        <v>1</v>
      </c>
      <c r="E139" s="2">
        <v>2</v>
      </c>
      <c r="F139" s="2">
        <v>1</v>
      </c>
      <c r="G139" s="2">
        <v>3</v>
      </c>
      <c r="H139" s="2">
        <v>1</v>
      </c>
      <c r="I139" s="2">
        <v>1</v>
      </c>
      <c r="J139" s="2">
        <v>2</v>
      </c>
      <c r="K139" s="2" t="b">
        <f t="shared" si="15"/>
        <v>0</v>
      </c>
      <c r="M139" s="11" t="s">
        <v>68</v>
      </c>
      <c r="S139" s="17" t="s">
        <v>25</v>
      </c>
      <c r="T139" s="19">
        <f>COUNTIF($K$479:$K$480, "=TRUE")/COUNTA($K$479:$K$480)</f>
        <v>1</v>
      </c>
    </row>
    <row r="140" spans="1:22">
      <c r="A140" s="2">
        <v>2</v>
      </c>
      <c r="B140" s="2">
        <v>1</v>
      </c>
      <c r="C140" s="2">
        <v>1</v>
      </c>
      <c r="D140" s="2">
        <v>1</v>
      </c>
      <c r="E140" s="2">
        <v>2</v>
      </c>
      <c r="F140" s="2">
        <v>1</v>
      </c>
      <c r="G140" s="2">
        <v>2</v>
      </c>
      <c r="H140" s="2">
        <v>1</v>
      </c>
      <c r="I140" s="2">
        <v>1</v>
      </c>
      <c r="J140" s="2">
        <v>2</v>
      </c>
      <c r="K140" s="2" t="b">
        <f t="shared" si="15"/>
        <v>0</v>
      </c>
      <c r="N140" s="18" t="s">
        <v>26</v>
      </c>
    </row>
    <row r="141" spans="1:22">
      <c r="A141" s="2">
        <v>1</v>
      </c>
      <c r="B141" s="2">
        <v>1</v>
      </c>
      <c r="C141" s="2">
        <v>3</v>
      </c>
      <c r="D141" s="2">
        <v>1</v>
      </c>
      <c r="E141" s="2">
        <v>2</v>
      </c>
      <c r="F141" s="2">
        <v>1</v>
      </c>
      <c r="G141" s="2">
        <v>1</v>
      </c>
      <c r="H141" s="2">
        <v>1</v>
      </c>
      <c r="I141" s="2">
        <v>1</v>
      </c>
      <c r="J141" s="2">
        <v>2</v>
      </c>
      <c r="K141" s="2" t="b">
        <f t="shared" si="15"/>
        <v>0</v>
      </c>
      <c r="M141" s="11" t="s">
        <v>53</v>
      </c>
      <c r="S141" s="17" t="s">
        <v>25</v>
      </c>
      <c r="T141" s="19">
        <f>COUNTIF($K$481:$K$483, "=TRUE")/COUNTA($K$481:$K$483)</f>
        <v>1</v>
      </c>
    </row>
    <row r="142" spans="1:22">
      <c r="A142" s="2">
        <v>1</v>
      </c>
      <c r="B142" s="2">
        <v>1</v>
      </c>
      <c r="C142" s="2">
        <v>3</v>
      </c>
      <c r="D142" s="2">
        <v>1</v>
      </c>
      <c r="E142" s="2">
        <v>1</v>
      </c>
      <c r="F142" s="2">
        <v>1</v>
      </c>
      <c r="G142" s="2">
        <v>2</v>
      </c>
      <c r="H142" s="2">
        <v>1</v>
      </c>
      <c r="I142" s="2">
        <v>1</v>
      </c>
      <c r="J142" s="2">
        <v>2</v>
      </c>
      <c r="K142" s="2" t="b">
        <f t="shared" si="15"/>
        <v>0</v>
      </c>
      <c r="N142" s="18" t="s">
        <v>26</v>
      </c>
    </row>
    <row r="143" spans="1:22">
      <c r="A143" s="2">
        <v>1</v>
      </c>
      <c r="B143" s="2">
        <v>1</v>
      </c>
      <c r="C143" s="2">
        <v>3</v>
      </c>
      <c r="D143" s="2">
        <v>1</v>
      </c>
      <c r="E143" s="2">
        <v>2</v>
      </c>
      <c r="F143" s="2">
        <v>1</v>
      </c>
      <c r="G143" s="2">
        <v>1</v>
      </c>
      <c r="H143" s="2">
        <v>1</v>
      </c>
      <c r="I143" s="2">
        <v>1</v>
      </c>
      <c r="J143" s="2">
        <v>2</v>
      </c>
      <c r="K143" s="2" t="b">
        <f t="shared" si="15"/>
        <v>0</v>
      </c>
    </row>
    <row r="144" spans="1:22">
      <c r="A144" s="2">
        <v>4</v>
      </c>
      <c r="B144" s="2">
        <v>1</v>
      </c>
      <c r="C144" s="2">
        <v>2</v>
      </c>
      <c r="D144" s="2">
        <v>1</v>
      </c>
      <c r="E144" s="2">
        <v>2</v>
      </c>
      <c r="F144" s="2">
        <v>1</v>
      </c>
      <c r="G144" s="2">
        <v>2</v>
      </c>
      <c r="H144" s="2">
        <v>1</v>
      </c>
      <c r="I144" s="2">
        <v>1</v>
      </c>
      <c r="J144" s="2">
        <v>2</v>
      </c>
      <c r="K144" s="2" t="b">
        <f t="shared" si="15"/>
        <v>0</v>
      </c>
      <c r="M144" s="11" t="s">
        <v>30</v>
      </c>
      <c r="S144" s="17" t="s">
        <v>25</v>
      </c>
      <c r="T144" s="18">
        <f>COUNTIF($K$484:$K$523, "=TRUE")/COUNTA($K$484:$K$523)</f>
        <v>0.77500000000000002</v>
      </c>
      <c r="U144" s="14"/>
      <c r="V144" s="14"/>
    </row>
    <row r="145" spans="1:22">
      <c r="A145" s="2">
        <v>5</v>
      </c>
      <c r="B145" s="2">
        <v>1</v>
      </c>
      <c r="C145" s="2">
        <v>1</v>
      </c>
      <c r="D145" s="2">
        <v>2</v>
      </c>
      <c r="E145" s="2">
        <v>2</v>
      </c>
      <c r="F145" s="2">
        <v>1</v>
      </c>
      <c r="G145" s="2">
        <v>2</v>
      </c>
      <c r="H145" s="2">
        <v>1</v>
      </c>
      <c r="I145" s="2">
        <v>1</v>
      </c>
      <c r="J145" s="2">
        <v>2</v>
      </c>
      <c r="K145" s="2" t="b">
        <f t="shared" si="15"/>
        <v>0</v>
      </c>
      <c r="M145" t="s">
        <v>18</v>
      </c>
      <c r="N145" s="16">
        <f>infoGain(A$484:A$523,$K$484:$K$523)</f>
        <v>0.35838774137477353</v>
      </c>
      <c r="O145" s="14">
        <f t="shared" ref="O145:T145" si="16">infoGain(B$484:B$523,$K$484:$K$523)</f>
        <v>-1.1102230246251565E-16</v>
      </c>
      <c r="P145" s="14">
        <f t="shared" si="16"/>
        <v>7.5232202017667893E-2</v>
      </c>
      <c r="Q145" s="14">
        <f t="shared" si="16"/>
        <v>0.20862909234442029</v>
      </c>
      <c r="R145" s="14">
        <f t="shared" si="16"/>
        <v>0.21605040353619409</v>
      </c>
      <c r="S145" s="14">
        <f t="shared" si="16"/>
        <v>0.2999081238072574</v>
      </c>
      <c r="T145" s="14">
        <f t="shared" si="16"/>
        <v>0.1758779907417406</v>
      </c>
      <c r="U145" s="14">
        <f>infoGain(H$484:H$523,$K$484:$K$523)</f>
        <v>0.14464746314683574</v>
      </c>
      <c r="V145" s="14">
        <f>infoGain(I$484:I$523,$K$484:$K$523)</f>
        <v>1.9104493507661413E-2</v>
      </c>
    </row>
    <row r="146" spans="1:22">
      <c r="A146" s="2">
        <v>3</v>
      </c>
      <c r="B146" s="2">
        <v>1</v>
      </c>
      <c r="C146" s="2">
        <v>2</v>
      </c>
      <c r="D146" s="2">
        <v>1</v>
      </c>
      <c r="E146" s="2">
        <v>2</v>
      </c>
      <c r="F146" s="2">
        <v>1</v>
      </c>
      <c r="G146" s="2">
        <v>2</v>
      </c>
      <c r="H146" s="2">
        <v>1</v>
      </c>
      <c r="I146" s="2">
        <v>1</v>
      </c>
      <c r="J146" s="2">
        <v>2</v>
      </c>
      <c r="K146" s="2" t="b">
        <f t="shared" si="15"/>
        <v>0</v>
      </c>
      <c r="M146" s="18" t="s">
        <v>35</v>
      </c>
      <c r="N146" s="18" t="str">
        <f>INDEX($N$2:$V$2,MATCH(MAX($N145:$V145),$N145:$V145,0))</f>
        <v>clump_thickness</v>
      </c>
    </row>
    <row r="147" spans="1:22">
      <c r="A147" s="2">
        <v>1</v>
      </c>
      <c r="B147" s="2">
        <v>1</v>
      </c>
      <c r="C147" s="2">
        <v>1</v>
      </c>
      <c r="D147" s="2">
        <v>1</v>
      </c>
      <c r="E147" s="2">
        <v>2</v>
      </c>
      <c r="F147" s="2">
        <v>1</v>
      </c>
      <c r="G147" s="2">
        <v>1</v>
      </c>
      <c r="H147" s="2">
        <v>1</v>
      </c>
      <c r="I147" s="2">
        <v>1</v>
      </c>
      <c r="J147" s="2">
        <v>2</v>
      </c>
      <c r="K147" s="2" t="b">
        <f t="shared" si="15"/>
        <v>0</v>
      </c>
      <c r="M147" s="11" t="s">
        <v>77</v>
      </c>
      <c r="N147" s="18"/>
      <c r="S147" s="17" t="s">
        <v>25</v>
      </c>
      <c r="T147" s="19">
        <f>COUNTIF($K$484:$K$484, "=TRUE")/COUNTA($K$484:$K$484)</f>
        <v>1</v>
      </c>
    </row>
    <row r="148" spans="1:22">
      <c r="A148" s="2">
        <v>1</v>
      </c>
      <c r="B148" s="2">
        <v>1</v>
      </c>
      <c r="C148" s="2">
        <v>1</v>
      </c>
      <c r="D148" s="2">
        <v>1</v>
      </c>
      <c r="E148" s="2">
        <v>2</v>
      </c>
      <c r="F148" s="2">
        <v>1</v>
      </c>
      <c r="G148" s="2">
        <v>2</v>
      </c>
      <c r="H148" s="2">
        <v>1</v>
      </c>
      <c r="I148" s="2">
        <v>1</v>
      </c>
      <c r="J148" s="2">
        <v>2</v>
      </c>
      <c r="K148" s="2" t="b">
        <f t="shared" si="15"/>
        <v>0</v>
      </c>
      <c r="M148" s="18"/>
      <c r="N148" s="18" t="s">
        <v>26</v>
      </c>
    </row>
    <row r="149" spans="1:22">
      <c r="A149" s="2">
        <v>1</v>
      </c>
      <c r="B149" s="2">
        <v>1</v>
      </c>
      <c r="C149" s="2">
        <v>1</v>
      </c>
      <c r="D149" s="2">
        <v>1</v>
      </c>
      <c r="E149" s="2">
        <v>1</v>
      </c>
      <c r="F149" s="2">
        <v>1</v>
      </c>
      <c r="G149" s="2">
        <v>2</v>
      </c>
      <c r="H149" s="2">
        <v>1</v>
      </c>
      <c r="I149" s="2">
        <v>1</v>
      </c>
      <c r="J149" s="2">
        <v>2</v>
      </c>
      <c r="K149" s="2" t="b">
        <f t="shared" si="15"/>
        <v>0</v>
      </c>
      <c r="M149" s="11" t="s">
        <v>78</v>
      </c>
      <c r="N149" s="18"/>
      <c r="S149" s="17" t="s">
        <v>25</v>
      </c>
      <c r="T149" s="20">
        <f>COUNTIF($K$485:$K$487, "=TRUE")/COUNTA($K$485:$K$487)</f>
        <v>0.66666666666666663</v>
      </c>
    </row>
    <row r="150" spans="1:22">
      <c r="A150" s="2">
        <v>3</v>
      </c>
      <c r="B150" s="2">
        <v>1</v>
      </c>
      <c r="C150" s="2">
        <v>1</v>
      </c>
      <c r="D150" s="2">
        <v>4</v>
      </c>
      <c r="E150" s="2">
        <v>3</v>
      </c>
      <c r="F150" s="2">
        <v>1</v>
      </c>
      <c r="G150" s="2">
        <v>2</v>
      </c>
      <c r="H150" s="2">
        <v>2</v>
      </c>
      <c r="I150" s="2">
        <v>1</v>
      </c>
      <c r="J150" s="2">
        <v>2</v>
      </c>
      <c r="K150" s="2" t="b">
        <f t="shared" si="15"/>
        <v>0</v>
      </c>
      <c r="M150" s="26" t="s">
        <v>18</v>
      </c>
      <c r="N150" s="21">
        <f>infoGain(A$485:A$487,$K$485:$K$487)</f>
        <v>0</v>
      </c>
      <c r="O150" s="21">
        <f t="shared" ref="O150:V150" si="17">infoGain(B$485:B$487,$K$485:$K$487)</f>
        <v>0</v>
      </c>
      <c r="P150" s="21">
        <f t="shared" si="17"/>
        <v>0.25162916738782293</v>
      </c>
      <c r="Q150" s="16">
        <f t="shared" si="17"/>
        <v>0.91829583405448956</v>
      </c>
      <c r="R150" s="21">
        <f t="shared" si="17"/>
        <v>0.91829583405448956</v>
      </c>
      <c r="S150" s="21">
        <f t="shared" si="17"/>
        <v>0.91829583405448956</v>
      </c>
      <c r="T150" s="21">
        <f t="shared" si="17"/>
        <v>0.25162916738782293</v>
      </c>
      <c r="U150" s="21">
        <f t="shared" si="17"/>
        <v>0.91829583405448956</v>
      </c>
      <c r="V150" s="21">
        <f t="shared" si="17"/>
        <v>0</v>
      </c>
    </row>
    <row r="151" spans="1:22">
      <c r="A151" s="2">
        <v>1</v>
      </c>
      <c r="B151" s="2">
        <v>1</v>
      </c>
      <c r="C151" s="2">
        <v>1</v>
      </c>
      <c r="D151" s="2">
        <v>1</v>
      </c>
      <c r="E151" s="2">
        <v>2</v>
      </c>
      <c r="F151" s="2">
        <v>1</v>
      </c>
      <c r="G151" s="2">
        <v>1</v>
      </c>
      <c r="H151" s="2">
        <v>1</v>
      </c>
      <c r="I151" s="2">
        <v>1</v>
      </c>
      <c r="J151" s="2">
        <v>2</v>
      </c>
      <c r="K151" s="2" t="b">
        <f t="shared" si="15"/>
        <v>0</v>
      </c>
      <c r="M151" s="18" t="s">
        <v>35</v>
      </c>
      <c r="N151" s="18" t="str">
        <f>INDEX($N$2:$V$2,MATCH(MAX($N150:$V150),$N150:$V150,0))</f>
        <v xml:space="preserve"> marginal_adhersion</v>
      </c>
      <c r="S151" s="17"/>
      <c r="T151" s="20"/>
    </row>
    <row r="152" spans="1:22">
      <c r="A152" s="2">
        <v>2</v>
      </c>
      <c r="B152" s="2">
        <v>1</v>
      </c>
      <c r="C152" s="2">
        <v>1</v>
      </c>
      <c r="D152" s="2">
        <v>1</v>
      </c>
      <c r="E152" s="2">
        <v>2</v>
      </c>
      <c r="F152" s="2">
        <v>1</v>
      </c>
      <c r="G152" s="2">
        <v>1</v>
      </c>
      <c r="H152" s="2">
        <v>1</v>
      </c>
      <c r="I152" s="2">
        <v>1</v>
      </c>
      <c r="J152" s="2">
        <v>2</v>
      </c>
      <c r="K152" s="2" t="b">
        <f t="shared" si="15"/>
        <v>0</v>
      </c>
      <c r="M152" s="11" t="s">
        <v>85</v>
      </c>
      <c r="N152" s="18"/>
      <c r="S152" s="17" t="s">
        <v>25</v>
      </c>
      <c r="T152" s="19">
        <f>COUNTIF($K$485:$K$485, "=TRUE")/COUNTA($K$484:$K$484)</f>
        <v>1</v>
      </c>
    </row>
    <row r="153" spans="1:22">
      <c r="A153" s="2">
        <v>2</v>
      </c>
      <c r="B153" s="2">
        <v>1</v>
      </c>
      <c r="C153" s="2">
        <v>1</v>
      </c>
      <c r="D153" s="2">
        <v>1</v>
      </c>
      <c r="E153" s="2">
        <v>2</v>
      </c>
      <c r="F153" s="2">
        <v>1</v>
      </c>
      <c r="G153" s="2">
        <v>1</v>
      </c>
      <c r="H153" s="2">
        <v>1</v>
      </c>
      <c r="I153" s="2">
        <v>1</v>
      </c>
      <c r="J153" s="2">
        <v>2</v>
      </c>
      <c r="K153" s="2" t="b">
        <f t="shared" si="15"/>
        <v>0</v>
      </c>
      <c r="M153" s="11"/>
      <c r="N153" s="18" t="s">
        <v>26</v>
      </c>
      <c r="S153" s="17"/>
      <c r="T153" s="20"/>
    </row>
    <row r="154" spans="1:22">
      <c r="A154" s="2">
        <v>2</v>
      </c>
      <c r="B154" s="2">
        <v>1</v>
      </c>
      <c r="C154" s="2">
        <v>1</v>
      </c>
      <c r="D154" s="2">
        <v>1</v>
      </c>
      <c r="E154" s="2">
        <v>2</v>
      </c>
      <c r="F154" s="2">
        <v>1</v>
      </c>
      <c r="G154" s="2">
        <v>2</v>
      </c>
      <c r="H154" s="2">
        <v>2</v>
      </c>
      <c r="I154" s="2">
        <v>1</v>
      </c>
      <c r="J154" s="2">
        <v>2</v>
      </c>
      <c r="K154" s="2" t="b">
        <f t="shared" si="15"/>
        <v>0</v>
      </c>
      <c r="M154" s="11" t="s">
        <v>86</v>
      </c>
      <c r="N154" s="18"/>
      <c r="S154" s="17" t="s">
        <v>25</v>
      </c>
      <c r="T154" s="19">
        <f>COUNTIF($K$486:$K$486, "=TRUE")/COUNTA($K$486:$K$486)</f>
        <v>0</v>
      </c>
    </row>
    <row r="155" spans="1:22">
      <c r="A155" s="2">
        <v>1</v>
      </c>
      <c r="B155" s="2">
        <v>1</v>
      </c>
      <c r="C155" s="2">
        <v>1</v>
      </c>
      <c r="D155" s="2">
        <v>2</v>
      </c>
      <c r="E155" s="2">
        <v>2</v>
      </c>
      <c r="F155" s="2">
        <v>1</v>
      </c>
      <c r="G155" s="2">
        <v>2</v>
      </c>
      <c r="H155" s="2">
        <v>1</v>
      </c>
      <c r="I155" s="2">
        <v>1</v>
      </c>
      <c r="J155" s="2">
        <v>2</v>
      </c>
      <c r="K155" s="2" t="b">
        <f t="shared" si="15"/>
        <v>0</v>
      </c>
      <c r="M155" s="11"/>
      <c r="N155" s="18" t="s">
        <v>39</v>
      </c>
      <c r="S155" s="17"/>
      <c r="T155" s="20"/>
    </row>
    <row r="156" spans="1:22">
      <c r="A156" s="2">
        <v>3</v>
      </c>
      <c r="B156" s="2">
        <v>1</v>
      </c>
      <c r="C156" s="2">
        <v>1</v>
      </c>
      <c r="D156" s="2">
        <v>1</v>
      </c>
      <c r="E156" s="2">
        <v>2</v>
      </c>
      <c r="F156" s="2">
        <v>1</v>
      </c>
      <c r="G156" s="2">
        <v>2</v>
      </c>
      <c r="H156" s="2">
        <v>1</v>
      </c>
      <c r="I156" s="2">
        <v>1</v>
      </c>
      <c r="J156" s="2">
        <v>2</v>
      </c>
      <c r="K156" s="2" t="b">
        <f t="shared" si="15"/>
        <v>0</v>
      </c>
      <c r="M156" s="11" t="s">
        <v>87</v>
      </c>
      <c r="N156" s="18"/>
      <c r="S156" s="17" t="s">
        <v>25</v>
      </c>
      <c r="T156" s="19">
        <f>COUNTIF($K$487:$K$487, "=TRUE")/COUNTA($K$487:$K$487)</f>
        <v>1</v>
      </c>
    </row>
    <row r="157" spans="1:22">
      <c r="A157" s="2">
        <v>1</v>
      </c>
      <c r="B157" s="2">
        <v>1</v>
      </c>
      <c r="C157" s="2">
        <v>1</v>
      </c>
      <c r="D157" s="2">
        <v>1</v>
      </c>
      <c r="E157" s="2">
        <v>1</v>
      </c>
      <c r="F157" s="2">
        <v>1</v>
      </c>
      <c r="G157" s="2">
        <v>1</v>
      </c>
      <c r="H157" s="2">
        <v>1</v>
      </c>
      <c r="I157" s="2">
        <v>1</v>
      </c>
      <c r="J157" s="2">
        <v>2</v>
      </c>
      <c r="K157" s="2" t="b">
        <f t="shared" si="15"/>
        <v>0</v>
      </c>
      <c r="M157" s="18"/>
      <c r="N157" s="18" t="s">
        <v>26</v>
      </c>
    </row>
    <row r="158" spans="1:22">
      <c r="A158" s="2">
        <v>3</v>
      </c>
      <c r="B158" s="2">
        <v>1</v>
      </c>
      <c r="C158" s="2">
        <v>1</v>
      </c>
      <c r="D158" s="2">
        <v>1</v>
      </c>
      <c r="E158" s="2">
        <v>2</v>
      </c>
      <c r="F158" s="2">
        <v>1</v>
      </c>
      <c r="G158" s="2">
        <v>2</v>
      </c>
      <c r="H158" s="2">
        <v>1</v>
      </c>
      <c r="I158" s="2">
        <v>1</v>
      </c>
      <c r="J158" s="2">
        <v>2</v>
      </c>
      <c r="K158" s="2" t="b">
        <f t="shared" si="15"/>
        <v>0</v>
      </c>
      <c r="M158" s="11" t="s">
        <v>79</v>
      </c>
      <c r="N158" s="18"/>
      <c r="S158" s="17" t="s">
        <v>25</v>
      </c>
      <c r="T158" s="19">
        <f>COUNTIF($K$488:$K$490, "=TRUE")/COUNTA($K$488:$K$490)</f>
        <v>0</v>
      </c>
    </row>
    <row r="159" spans="1:22">
      <c r="A159" s="2">
        <v>3</v>
      </c>
      <c r="B159" s="2">
        <v>1</v>
      </c>
      <c r="C159" s="2">
        <v>1</v>
      </c>
      <c r="D159" s="2">
        <v>1</v>
      </c>
      <c r="E159" s="2">
        <v>2</v>
      </c>
      <c r="F159" s="2">
        <v>1</v>
      </c>
      <c r="G159" s="2">
        <v>3</v>
      </c>
      <c r="H159" s="2">
        <v>1</v>
      </c>
      <c r="I159" s="2">
        <v>1</v>
      </c>
      <c r="J159" s="2">
        <v>2</v>
      </c>
      <c r="K159" s="2" t="b">
        <f t="shared" si="15"/>
        <v>0</v>
      </c>
      <c r="M159" s="18"/>
      <c r="N159" s="18" t="s">
        <v>39</v>
      </c>
    </row>
    <row r="160" spans="1:22">
      <c r="A160" s="2">
        <v>4</v>
      </c>
      <c r="B160" s="2">
        <v>1</v>
      </c>
      <c r="C160" s="2">
        <v>1</v>
      </c>
      <c r="D160" s="2">
        <v>1</v>
      </c>
      <c r="E160" s="2">
        <v>2</v>
      </c>
      <c r="F160" s="2">
        <v>1</v>
      </c>
      <c r="G160" s="2">
        <v>1</v>
      </c>
      <c r="H160" s="2">
        <v>1</v>
      </c>
      <c r="I160" s="2">
        <v>1</v>
      </c>
      <c r="J160" s="2">
        <v>2</v>
      </c>
      <c r="K160" s="2" t="b">
        <f t="shared" si="15"/>
        <v>0</v>
      </c>
      <c r="M160" s="11" t="s">
        <v>80</v>
      </c>
      <c r="N160" s="18"/>
      <c r="S160" s="17" t="s">
        <v>25</v>
      </c>
      <c r="T160" s="20">
        <f>COUNTIF($K$491:$K$498, "=TRUE")/COUNTA($K$491:$K$498)</f>
        <v>0.625</v>
      </c>
    </row>
    <row r="161" spans="1:22">
      <c r="A161" s="2">
        <v>3</v>
      </c>
      <c r="B161" s="2">
        <v>1</v>
      </c>
      <c r="C161" s="2">
        <v>1</v>
      </c>
      <c r="D161" s="2">
        <v>1</v>
      </c>
      <c r="E161" s="2">
        <v>2</v>
      </c>
      <c r="F161" s="2">
        <v>1</v>
      </c>
      <c r="G161" s="2">
        <v>1</v>
      </c>
      <c r="H161" s="2">
        <v>1</v>
      </c>
      <c r="I161" s="2">
        <v>1</v>
      </c>
      <c r="J161" s="2">
        <v>2</v>
      </c>
      <c r="K161" s="2" t="b">
        <f t="shared" si="15"/>
        <v>0</v>
      </c>
      <c r="M161" s="26" t="s">
        <v>18</v>
      </c>
      <c r="N161" s="21">
        <f>infoGain(A$491:A$498,$K$491:$K$498)</f>
        <v>-1.1102230246251565E-16</v>
      </c>
      <c r="O161" s="21">
        <f t="shared" ref="O161:V161" si="18">infoGain(B$491:B$498,$K$491:$K$498)</f>
        <v>-1.1102230246251565E-16</v>
      </c>
      <c r="P161" s="21">
        <f t="shared" si="18"/>
        <v>0.70443400292496494</v>
      </c>
      <c r="Q161" s="16">
        <f t="shared" si="18"/>
        <v>0.95443400292496494</v>
      </c>
      <c r="R161" s="21">
        <f t="shared" si="18"/>
        <v>0.61007306515453141</v>
      </c>
      <c r="S161" s="21">
        <f t="shared" si="18"/>
        <v>0.29879494069539847</v>
      </c>
      <c r="T161" s="21">
        <f t="shared" si="18"/>
        <v>0.95443400292496494</v>
      </c>
      <c r="U161" s="21">
        <f t="shared" si="18"/>
        <v>0.45443400292496494</v>
      </c>
      <c r="V161" s="21">
        <f t="shared" si="18"/>
        <v>-1.1102230246251565E-16</v>
      </c>
    </row>
    <row r="162" spans="1:22">
      <c r="A162" s="2">
        <v>1</v>
      </c>
      <c r="B162" s="2">
        <v>1</v>
      </c>
      <c r="C162" s="2">
        <v>1</v>
      </c>
      <c r="D162" s="2">
        <v>1</v>
      </c>
      <c r="E162" s="2">
        <v>2</v>
      </c>
      <c r="F162" s="2">
        <v>1</v>
      </c>
      <c r="G162" s="2">
        <v>2</v>
      </c>
      <c r="H162" s="2">
        <v>1</v>
      </c>
      <c r="I162" s="2">
        <v>1</v>
      </c>
      <c r="J162" s="2">
        <v>2</v>
      </c>
      <c r="K162" s="2" t="b">
        <f t="shared" si="15"/>
        <v>0</v>
      </c>
      <c r="M162" s="18" t="s">
        <v>35</v>
      </c>
      <c r="N162" s="18" t="str">
        <f>INDEX($N$2:$V$2,MATCH(MAX($N161:$V161),$N161:$V161,0))</f>
        <v xml:space="preserve"> marginal_adhersion</v>
      </c>
      <c r="S162" s="17"/>
      <c r="T162" s="20"/>
    </row>
    <row r="163" spans="1:22">
      <c r="A163" s="2">
        <v>1</v>
      </c>
      <c r="B163" s="2">
        <v>1</v>
      </c>
      <c r="C163" s="2">
        <v>1</v>
      </c>
      <c r="D163" s="2">
        <v>1</v>
      </c>
      <c r="E163" s="2">
        <v>2</v>
      </c>
      <c r="F163" s="2">
        <v>1</v>
      </c>
      <c r="G163" s="2">
        <v>2</v>
      </c>
      <c r="H163" s="2">
        <v>1</v>
      </c>
      <c r="I163" s="2">
        <v>1</v>
      </c>
      <c r="J163" s="2">
        <v>2</v>
      </c>
      <c r="K163" s="2" t="b">
        <f t="shared" si="15"/>
        <v>0</v>
      </c>
      <c r="M163" s="11" t="s">
        <v>88</v>
      </c>
      <c r="N163" s="18"/>
      <c r="S163" s="17" t="s">
        <v>25</v>
      </c>
      <c r="T163" s="19">
        <f>COUNTIF($K$491:$K$492, "=TRUE")/COUNTA($K$491:$K$492)</f>
        <v>0</v>
      </c>
    </row>
    <row r="164" spans="1:22">
      <c r="A164" s="2">
        <v>3</v>
      </c>
      <c r="B164" s="2">
        <v>1</v>
      </c>
      <c r="C164" s="2">
        <v>2</v>
      </c>
      <c r="D164" s="2">
        <v>1</v>
      </c>
      <c r="E164" s="2">
        <v>2</v>
      </c>
      <c r="F164" s="2">
        <v>1</v>
      </c>
      <c r="G164" s="2">
        <v>2</v>
      </c>
      <c r="H164" s="2">
        <v>1</v>
      </c>
      <c r="I164" s="2">
        <v>1</v>
      </c>
      <c r="J164" s="2">
        <v>2</v>
      </c>
      <c r="K164" s="2" t="b">
        <f t="shared" si="15"/>
        <v>0</v>
      </c>
      <c r="M164" s="11"/>
      <c r="N164" s="18" t="s">
        <v>39</v>
      </c>
      <c r="S164" s="17"/>
      <c r="T164" s="20"/>
    </row>
    <row r="165" spans="1:22">
      <c r="A165" s="2">
        <v>1</v>
      </c>
      <c r="B165" s="2">
        <v>1</v>
      </c>
      <c r="C165" s="2">
        <v>1</v>
      </c>
      <c r="D165" s="2">
        <v>1</v>
      </c>
      <c r="E165" s="2">
        <v>2</v>
      </c>
      <c r="F165" s="2">
        <v>1</v>
      </c>
      <c r="G165" s="2">
        <v>2</v>
      </c>
      <c r="H165" s="2">
        <v>1</v>
      </c>
      <c r="I165" s="2">
        <v>1</v>
      </c>
      <c r="J165" s="2">
        <v>2</v>
      </c>
      <c r="K165" s="2" t="b">
        <f t="shared" si="15"/>
        <v>0</v>
      </c>
      <c r="M165" s="11" t="s">
        <v>89</v>
      </c>
      <c r="N165" s="18"/>
      <c r="S165" s="17" t="s">
        <v>25</v>
      </c>
      <c r="T165" s="19">
        <f>COUNTIF($K$493:$K$493, "=TRUE")/COUNTA($K$493:$K$493)</f>
        <v>0</v>
      </c>
    </row>
    <row r="166" spans="1:22">
      <c r="A166" s="2">
        <v>5</v>
      </c>
      <c r="B166" s="2">
        <v>1</v>
      </c>
      <c r="C166" s="2">
        <v>2</v>
      </c>
      <c r="D166" s="2">
        <v>1</v>
      </c>
      <c r="E166" s="2">
        <v>2</v>
      </c>
      <c r="F166" s="2">
        <v>1</v>
      </c>
      <c r="G166" s="2">
        <v>3</v>
      </c>
      <c r="H166" s="2">
        <v>1</v>
      </c>
      <c r="I166" s="2">
        <v>1</v>
      </c>
      <c r="J166" s="2">
        <v>2</v>
      </c>
      <c r="K166" s="2" t="b">
        <f t="shared" si="15"/>
        <v>0</v>
      </c>
      <c r="M166" s="11"/>
      <c r="N166" s="18" t="s">
        <v>39</v>
      </c>
      <c r="S166" s="17"/>
      <c r="T166" s="20"/>
    </row>
    <row r="167" spans="1:22">
      <c r="A167" s="2">
        <v>1</v>
      </c>
      <c r="B167" s="2">
        <v>1</v>
      </c>
      <c r="C167" s="2">
        <v>1</v>
      </c>
      <c r="D167" s="2">
        <v>1</v>
      </c>
      <c r="E167" s="2">
        <v>2</v>
      </c>
      <c r="F167" s="2">
        <v>1</v>
      </c>
      <c r="G167" s="2">
        <v>2</v>
      </c>
      <c r="H167" s="2">
        <v>1</v>
      </c>
      <c r="I167" s="2">
        <v>1</v>
      </c>
      <c r="J167" s="2">
        <v>2</v>
      </c>
      <c r="K167" s="2" t="b">
        <f t="shared" si="15"/>
        <v>0</v>
      </c>
      <c r="M167" s="11" t="s">
        <v>90</v>
      </c>
      <c r="N167" s="18"/>
      <c r="S167" s="17" t="s">
        <v>25</v>
      </c>
      <c r="T167" s="19">
        <f>COUNTIF($K$494:$K$494, "=TRUE")/COUNTA($K$494:$K$494)</f>
        <v>1</v>
      </c>
    </row>
    <row r="168" spans="1:22">
      <c r="A168" s="2">
        <v>5</v>
      </c>
      <c r="B168" s="2">
        <v>1</v>
      </c>
      <c r="C168" s="2">
        <v>3</v>
      </c>
      <c r="D168" s="2">
        <v>1</v>
      </c>
      <c r="E168" s="2">
        <v>2</v>
      </c>
      <c r="F168" s="2">
        <v>1</v>
      </c>
      <c r="G168" s="2">
        <v>2</v>
      </c>
      <c r="H168" s="2">
        <v>1</v>
      </c>
      <c r="I168" s="2">
        <v>1</v>
      </c>
      <c r="J168" s="2">
        <v>2</v>
      </c>
      <c r="K168" s="2" t="b">
        <f t="shared" si="15"/>
        <v>0</v>
      </c>
      <c r="M168" s="11"/>
      <c r="N168" s="18" t="s">
        <v>26</v>
      </c>
      <c r="S168" s="17"/>
      <c r="T168" s="20"/>
    </row>
    <row r="169" spans="1:22">
      <c r="A169" s="2">
        <v>3</v>
      </c>
      <c r="B169" s="2">
        <v>1</v>
      </c>
      <c r="C169" s="2">
        <v>1</v>
      </c>
      <c r="D169" s="2">
        <v>1</v>
      </c>
      <c r="E169" s="2">
        <v>2</v>
      </c>
      <c r="F169" s="2">
        <v>1</v>
      </c>
      <c r="G169" s="2">
        <v>1</v>
      </c>
      <c r="H169" s="2">
        <v>1</v>
      </c>
      <c r="I169" s="2">
        <v>1</v>
      </c>
      <c r="J169" s="2">
        <v>2</v>
      </c>
      <c r="K169" s="2" t="b">
        <f t="shared" si="15"/>
        <v>0</v>
      </c>
      <c r="M169" s="11" t="s">
        <v>91</v>
      </c>
      <c r="N169" s="18"/>
      <c r="S169" s="17" t="s">
        <v>25</v>
      </c>
      <c r="T169" s="19">
        <f>COUNTIF($K$495:$K$495, "=TRUE")/COUNTA($K$495:$K$495)</f>
        <v>1</v>
      </c>
    </row>
    <row r="170" spans="1:22">
      <c r="A170" s="2">
        <v>1</v>
      </c>
      <c r="B170" s="2">
        <v>1</v>
      </c>
      <c r="C170" s="2">
        <v>1</v>
      </c>
      <c r="D170" s="2">
        <v>1</v>
      </c>
      <c r="E170" s="2">
        <v>2</v>
      </c>
      <c r="F170" s="2">
        <v>1</v>
      </c>
      <c r="G170" s="2">
        <v>2</v>
      </c>
      <c r="H170" s="2">
        <v>1</v>
      </c>
      <c r="I170" s="2">
        <v>1</v>
      </c>
      <c r="J170" s="2">
        <v>2</v>
      </c>
      <c r="K170" s="2" t="b">
        <f t="shared" si="15"/>
        <v>0</v>
      </c>
      <c r="M170" s="11"/>
      <c r="N170" s="18" t="s">
        <v>26</v>
      </c>
      <c r="S170" s="17"/>
      <c r="T170" s="20"/>
    </row>
    <row r="171" spans="1:22">
      <c r="A171" s="2">
        <v>2</v>
      </c>
      <c r="B171" s="2">
        <v>1</v>
      </c>
      <c r="C171" s="2">
        <v>1</v>
      </c>
      <c r="D171" s="2">
        <v>1</v>
      </c>
      <c r="E171" s="2">
        <v>2</v>
      </c>
      <c r="F171" s="2">
        <v>1</v>
      </c>
      <c r="G171" s="2">
        <v>2</v>
      </c>
      <c r="H171" s="2">
        <v>1</v>
      </c>
      <c r="I171" s="2">
        <v>1</v>
      </c>
      <c r="J171" s="2">
        <v>2</v>
      </c>
      <c r="K171" s="2" t="b">
        <f t="shared" si="15"/>
        <v>0</v>
      </c>
      <c r="M171" s="11" t="s">
        <v>92</v>
      </c>
      <c r="N171" s="18"/>
      <c r="S171" s="17" t="s">
        <v>25</v>
      </c>
      <c r="T171" s="19">
        <f>COUNTIF($K$496:$K$496, "=TRUE")/COUNTA($K$496:$K$496)</f>
        <v>1</v>
      </c>
    </row>
    <row r="172" spans="1:22">
      <c r="A172" s="2">
        <v>5</v>
      </c>
      <c r="B172" s="2">
        <v>1</v>
      </c>
      <c r="C172" s="2">
        <v>1</v>
      </c>
      <c r="D172" s="2">
        <v>3</v>
      </c>
      <c r="E172" s="2">
        <v>4</v>
      </c>
      <c r="F172" s="2">
        <v>1</v>
      </c>
      <c r="G172" s="2">
        <v>3</v>
      </c>
      <c r="H172" s="2">
        <v>2</v>
      </c>
      <c r="I172" s="2">
        <v>1</v>
      </c>
      <c r="J172" s="2">
        <v>2</v>
      </c>
      <c r="K172" s="2" t="b">
        <f t="shared" si="15"/>
        <v>0</v>
      </c>
      <c r="M172" s="11"/>
      <c r="N172" s="18" t="s">
        <v>26</v>
      </c>
      <c r="S172" s="17"/>
      <c r="T172" s="20"/>
    </row>
    <row r="173" spans="1:22">
      <c r="A173" s="2">
        <v>5</v>
      </c>
      <c r="B173" s="2">
        <v>1</v>
      </c>
      <c r="C173" s="2">
        <v>1</v>
      </c>
      <c r="D173" s="2">
        <v>1</v>
      </c>
      <c r="E173" s="2">
        <v>2</v>
      </c>
      <c r="F173" s="2">
        <v>1</v>
      </c>
      <c r="G173" s="2">
        <v>2</v>
      </c>
      <c r="H173" s="2">
        <v>2</v>
      </c>
      <c r="I173" s="2">
        <v>1</v>
      </c>
      <c r="J173" s="2">
        <v>2</v>
      </c>
      <c r="K173" s="2" t="b">
        <f t="shared" si="15"/>
        <v>0</v>
      </c>
      <c r="M173" s="11" t="s">
        <v>93</v>
      </c>
      <c r="N173" s="18"/>
      <c r="S173" s="17" t="s">
        <v>25</v>
      </c>
      <c r="T173" s="19">
        <f>COUNTIF($K$497:$K$497, "=TRUE")/COUNTA($K$497:$K$497)</f>
        <v>1</v>
      </c>
    </row>
    <row r="174" spans="1:22">
      <c r="A174" s="2">
        <v>4</v>
      </c>
      <c r="B174" s="2">
        <v>1</v>
      </c>
      <c r="C174" s="2">
        <v>1</v>
      </c>
      <c r="D174" s="2">
        <v>1</v>
      </c>
      <c r="E174" s="2">
        <v>2</v>
      </c>
      <c r="F174" s="2">
        <v>1</v>
      </c>
      <c r="G174" s="2">
        <v>1</v>
      </c>
      <c r="H174" s="2">
        <v>1</v>
      </c>
      <c r="I174" s="2">
        <v>1</v>
      </c>
      <c r="J174" s="2">
        <v>2</v>
      </c>
      <c r="K174" s="2" t="b">
        <f t="shared" si="15"/>
        <v>0</v>
      </c>
      <c r="M174" s="11"/>
      <c r="N174" s="18" t="s">
        <v>26</v>
      </c>
      <c r="S174" s="17"/>
      <c r="T174" s="20"/>
    </row>
    <row r="175" spans="1:22">
      <c r="A175" s="2">
        <v>4</v>
      </c>
      <c r="B175" s="2">
        <v>1</v>
      </c>
      <c r="C175" s="2">
        <v>3</v>
      </c>
      <c r="D175" s="2">
        <v>3</v>
      </c>
      <c r="E175" s="2">
        <v>2</v>
      </c>
      <c r="F175" s="2">
        <v>1</v>
      </c>
      <c r="G175" s="2">
        <v>1</v>
      </c>
      <c r="H175" s="2">
        <v>1</v>
      </c>
      <c r="I175" s="2">
        <v>1</v>
      </c>
      <c r="J175" s="2">
        <v>2</v>
      </c>
      <c r="K175" s="2" t="b">
        <f t="shared" si="15"/>
        <v>0</v>
      </c>
      <c r="M175" s="11" t="s">
        <v>87</v>
      </c>
      <c r="N175" s="18"/>
      <c r="S175" s="17" t="s">
        <v>25</v>
      </c>
      <c r="T175" s="19">
        <f>COUNTIF($K$498:$K$498, "=TRUE")/COUNTA($K$498:$K$498)</f>
        <v>1</v>
      </c>
    </row>
    <row r="176" spans="1:22">
      <c r="A176" s="2">
        <v>5</v>
      </c>
      <c r="B176" s="2">
        <v>1</v>
      </c>
      <c r="C176" s="2">
        <v>1</v>
      </c>
      <c r="D176" s="2">
        <v>1</v>
      </c>
      <c r="E176" s="2">
        <v>2</v>
      </c>
      <c r="F176" s="2">
        <v>1</v>
      </c>
      <c r="G176" s="2">
        <v>1</v>
      </c>
      <c r="H176" s="2">
        <v>1</v>
      </c>
      <c r="I176" s="2">
        <v>1</v>
      </c>
      <c r="J176" s="2">
        <v>2</v>
      </c>
      <c r="K176" s="2" t="b">
        <f t="shared" si="15"/>
        <v>0</v>
      </c>
      <c r="M176" s="18"/>
      <c r="N176" s="18" t="s">
        <v>26</v>
      </c>
    </row>
    <row r="177" spans="1:22">
      <c r="A177" s="2">
        <v>5</v>
      </c>
      <c r="B177" s="2">
        <v>1</v>
      </c>
      <c r="C177" s="2">
        <v>1</v>
      </c>
      <c r="D177" s="2">
        <v>6</v>
      </c>
      <c r="E177" s="2">
        <v>3</v>
      </c>
      <c r="F177" s="2">
        <v>1</v>
      </c>
      <c r="G177" s="2">
        <v>2</v>
      </c>
      <c r="H177" s="2">
        <v>1</v>
      </c>
      <c r="I177" s="2">
        <v>1</v>
      </c>
      <c r="J177" s="2">
        <v>2</v>
      </c>
      <c r="K177" s="2" t="b">
        <f t="shared" si="15"/>
        <v>0</v>
      </c>
      <c r="M177" s="11" t="s">
        <v>81</v>
      </c>
      <c r="N177" s="18"/>
      <c r="S177" s="17" t="s">
        <v>25</v>
      </c>
      <c r="T177" s="19">
        <f>COUNTIF($K$499:$K$502, "=TRUE")/COUNTA($K$499:$K$502)</f>
        <v>1</v>
      </c>
    </row>
    <row r="178" spans="1:22">
      <c r="A178" s="2">
        <v>2</v>
      </c>
      <c r="B178" s="2">
        <v>1</v>
      </c>
      <c r="C178" s="2">
        <v>1</v>
      </c>
      <c r="D178" s="2">
        <v>1</v>
      </c>
      <c r="E178" s="2">
        <v>2</v>
      </c>
      <c r="F178" s="2">
        <v>1</v>
      </c>
      <c r="G178" s="2">
        <v>1</v>
      </c>
      <c r="H178" s="2">
        <v>1</v>
      </c>
      <c r="I178" s="2">
        <v>1</v>
      </c>
      <c r="J178" s="2">
        <v>2</v>
      </c>
      <c r="K178" s="2" t="b">
        <f t="shared" si="15"/>
        <v>0</v>
      </c>
      <c r="M178" s="18"/>
      <c r="N178" s="18" t="s">
        <v>26</v>
      </c>
    </row>
    <row r="179" spans="1:22">
      <c r="A179" s="2">
        <v>1</v>
      </c>
      <c r="B179" s="2">
        <v>1</v>
      </c>
      <c r="C179" s="2">
        <v>1</v>
      </c>
      <c r="D179" s="2">
        <v>1</v>
      </c>
      <c r="E179" s="2">
        <v>2</v>
      </c>
      <c r="F179" s="2">
        <v>1</v>
      </c>
      <c r="G179" s="2">
        <v>1</v>
      </c>
      <c r="H179" s="2">
        <v>1</v>
      </c>
      <c r="I179" s="2">
        <v>1</v>
      </c>
      <c r="J179" s="2">
        <v>2</v>
      </c>
      <c r="K179" s="2" t="b">
        <f t="shared" si="15"/>
        <v>0</v>
      </c>
      <c r="M179" s="11" t="s">
        <v>82</v>
      </c>
      <c r="N179" s="18"/>
      <c r="S179" s="17" t="s">
        <v>25</v>
      </c>
      <c r="T179" s="20">
        <f>COUNTIF($K$503:$K$509, "=TRUE")/COUNTA($K$503:$K$509)</f>
        <v>0.7142857142857143</v>
      </c>
    </row>
    <row r="180" spans="1:22">
      <c r="A180" s="2">
        <v>5</v>
      </c>
      <c r="B180" s="2">
        <v>1</v>
      </c>
      <c r="C180" s="2">
        <v>1</v>
      </c>
      <c r="D180" s="2">
        <v>1</v>
      </c>
      <c r="E180" s="2">
        <v>2</v>
      </c>
      <c r="F180" s="2">
        <v>1</v>
      </c>
      <c r="G180" s="2">
        <v>1</v>
      </c>
      <c r="H180" s="2">
        <v>1</v>
      </c>
      <c r="I180" s="2">
        <v>1</v>
      </c>
      <c r="J180" s="2">
        <v>2</v>
      </c>
      <c r="K180" s="2" t="b">
        <f t="shared" si="15"/>
        <v>0</v>
      </c>
      <c r="M180" s="26" t="s">
        <v>18</v>
      </c>
      <c r="N180" s="21">
        <f>infoGain(A$503:A$509,$K$503:$K$509)</f>
        <v>0</v>
      </c>
      <c r="O180" s="21">
        <f t="shared" ref="O180:V180" si="19">infoGain(B$503:B$509,$K$503:$K$509)</f>
        <v>0</v>
      </c>
      <c r="P180" s="21">
        <f t="shared" si="19"/>
        <v>0.46956521111470695</v>
      </c>
      <c r="Q180" s="21">
        <f t="shared" si="19"/>
        <v>0.5774062828523453</v>
      </c>
      <c r="R180" s="21">
        <f t="shared" si="19"/>
        <v>0.2916919971380596</v>
      </c>
      <c r="S180" s="16">
        <f t="shared" si="19"/>
        <v>0.863120568566631</v>
      </c>
      <c r="T180" s="21">
        <f t="shared" si="19"/>
        <v>0.46956521111470695</v>
      </c>
      <c r="U180" s="21">
        <f t="shared" si="19"/>
        <v>0.46956521111470695</v>
      </c>
      <c r="V180" s="21">
        <f t="shared" si="19"/>
        <v>5.9777114237739015E-3</v>
      </c>
    </row>
    <row r="181" spans="1:22">
      <c r="A181" s="2">
        <v>1</v>
      </c>
      <c r="B181" s="2">
        <v>1</v>
      </c>
      <c r="C181" s="2">
        <v>1</v>
      </c>
      <c r="D181" s="2">
        <v>1</v>
      </c>
      <c r="E181" s="2">
        <v>1</v>
      </c>
      <c r="F181" s="2">
        <v>1</v>
      </c>
      <c r="G181" s="2">
        <v>1</v>
      </c>
      <c r="H181" s="2">
        <v>1</v>
      </c>
      <c r="I181" s="2">
        <v>1</v>
      </c>
      <c r="J181" s="2">
        <v>2</v>
      </c>
      <c r="K181" s="2" t="b">
        <f t="shared" si="15"/>
        <v>0</v>
      </c>
      <c r="M181" s="18" t="s">
        <v>35</v>
      </c>
      <c r="N181" s="18" t="str">
        <f>INDEX($N$2:$V$2,MATCH(MAX($N180:$V180),$N180:$V180,0))</f>
        <v xml:space="preserve"> bare_nucleoli</v>
      </c>
      <c r="S181" s="17"/>
      <c r="T181" s="20"/>
    </row>
    <row r="182" spans="1:22">
      <c r="A182" s="2">
        <v>4</v>
      </c>
      <c r="B182" s="2">
        <v>1</v>
      </c>
      <c r="C182" s="2">
        <v>1</v>
      </c>
      <c r="D182" s="2">
        <v>3</v>
      </c>
      <c r="E182" s="2">
        <v>1</v>
      </c>
      <c r="F182" s="2">
        <v>1</v>
      </c>
      <c r="G182" s="2">
        <v>2</v>
      </c>
      <c r="H182" s="2">
        <v>1</v>
      </c>
      <c r="I182" s="2">
        <v>1</v>
      </c>
      <c r="J182" s="2">
        <v>2</v>
      </c>
      <c r="K182" s="2" t="b">
        <f t="shared" si="15"/>
        <v>0</v>
      </c>
      <c r="M182" s="11" t="s">
        <v>94</v>
      </c>
      <c r="N182" s="18"/>
      <c r="S182" s="17" t="s">
        <v>25</v>
      </c>
      <c r="T182" s="19">
        <f>COUNTIF($K$503:$K$503, "=TRUE")/COUNTA($K$503:$K$503)</f>
        <v>0</v>
      </c>
    </row>
    <row r="183" spans="1:22">
      <c r="A183" s="2">
        <v>5</v>
      </c>
      <c r="B183" s="2">
        <v>1</v>
      </c>
      <c r="C183" s="2">
        <v>1</v>
      </c>
      <c r="D183" s="2">
        <v>1</v>
      </c>
      <c r="E183" s="2">
        <v>2</v>
      </c>
      <c r="F183" s="2">
        <v>1</v>
      </c>
      <c r="G183" s="2">
        <v>1</v>
      </c>
      <c r="H183" s="2">
        <v>1</v>
      </c>
      <c r="I183" s="2">
        <v>1</v>
      </c>
      <c r="J183" s="2">
        <v>2</v>
      </c>
      <c r="K183" s="2" t="b">
        <f t="shared" si="15"/>
        <v>0</v>
      </c>
      <c r="M183" s="11"/>
      <c r="N183" s="18" t="s">
        <v>39</v>
      </c>
      <c r="S183" s="17"/>
      <c r="T183" s="20"/>
    </row>
    <row r="184" spans="1:22">
      <c r="A184" s="2">
        <v>3</v>
      </c>
      <c r="B184" s="2">
        <v>1</v>
      </c>
      <c r="C184" s="2">
        <v>1</v>
      </c>
      <c r="D184" s="2">
        <v>3</v>
      </c>
      <c r="E184" s="2">
        <v>2</v>
      </c>
      <c r="F184" s="2">
        <v>1</v>
      </c>
      <c r="G184" s="2">
        <v>1</v>
      </c>
      <c r="H184" s="2">
        <v>1</v>
      </c>
      <c r="I184" s="2">
        <v>1</v>
      </c>
      <c r="J184" s="2">
        <v>2</v>
      </c>
      <c r="K184" s="2" t="b">
        <f t="shared" si="15"/>
        <v>0</v>
      </c>
      <c r="M184" s="11" t="s">
        <v>95</v>
      </c>
      <c r="N184" s="18"/>
      <c r="S184" s="17" t="s">
        <v>25</v>
      </c>
      <c r="T184" s="19">
        <f>COUNTIF($K$504:$K$504, "=TRUE")/COUNTA($K$504:$K$504)</f>
        <v>1</v>
      </c>
    </row>
    <row r="185" spans="1:22">
      <c r="A185" s="2">
        <v>5</v>
      </c>
      <c r="B185" s="2">
        <v>1</v>
      </c>
      <c r="C185" s="2">
        <v>2</v>
      </c>
      <c r="D185" s="2">
        <v>1</v>
      </c>
      <c r="E185" s="2">
        <v>2</v>
      </c>
      <c r="F185" s="2">
        <v>1</v>
      </c>
      <c r="G185" s="2">
        <v>1</v>
      </c>
      <c r="H185" s="2">
        <v>1</v>
      </c>
      <c r="I185" s="2">
        <v>1</v>
      </c>
      <c r="J185" s="2">
        <v>2</v>
      </c>
      <c r="K185" s="2" t="b">
        <f t="shared" si="15"/>
        <v>0</v>
      </c>
      <c r="M185" s="11"/>
      <c r="N185" s="18" t="s">
        <v>26</v>
      </c>
      <c r="S185" s="17"/>
      <c r="T185" s="20"/>
    </row>
    <row r="186" spans="1:22">
      <c r="A186" s="2">
        <v>5</v>
      </c>
      <c r="B186" s="2">
        <v>1</v>
      </c>
      <c r="C186" s="2">
        <v>3</v>
      </c>
      <c r="D186" s="2">
        <v>1</v>
      </c>
      <c r="E186" s="2">
        <v>2</v>
      </c>
      <c r="F186" s="2">
        <v>1</v>
      </c>
      <c r="G186" s="2">
        <v>1</v>
      </c>
      <c r="H186" s="2">
        <v>1</v>
      </c>
      <c r="I186" s="2">
        <v>1</v>
      </c>
      <c r="J186" s="2">
        <v>2</v>
      </c>
      <c r="K186" s="2" t="b">
        <f t="shared" si="15"/>
        <v>0</v>
      </c>
      <c r="M186" s="11" t="s">
        <v>96</v>
      </c>
      <c r="N186" s="18"/>
      <c r="S186" s="17" t="s">
        <v>25</v>
      </c>
      <c r="T186" s="19">
        <f>COUNTIF($K$505:$K$505, "=TRUE")/COUNTA($K$505:$K$505)</f>
        <v>0</v>
      </c>
    </row>
    <row r="187" spans="1:22">
      <c r="A187" s="2">
        <v>5</v>
      </c>
      <c r="B187" s="2">
        <v>1</v>
      </c>
      <c r="C187" s="2">
        <v>1</v>
      </c>
      <c r="D187" s="2">
        <v>3</v>
      </c>
      <c r="E187" s="2">
        <v>2</v>
      </c>
      <c r="F187" s="2">
        <v>1</v>
      </c>
      <c r="G187" s="2">
        <v>1</v>
      </c>
      <c r="H187" s="2">
        <v>1</v>
      </c>
      <c r="I187" s="2">
        <v>1</v>
      </c>
      <c r="J187" s="2">
        <v>2</v>
      </c>
      <c r="K187" s="2" t="b">
        <f t="shared" si="15"/>
        <v>0</v>
      </c>
      <c r="M187" s="11"/>
      <c r="N187" s="18" t="s">
        <v>39</v>
      </c>
      <c r="S187" s="17"/>
      <c r="T187" s="20"/>
    </row>
    <row r="188" spans="1:22">
      <c r="A188" s="2">
        <v>6</v>
      </c>
      <c r="B188" s="2">
        <v>1</v>
      </c>
      <c r="C188" s="2">
        <v>1</v>
      </c>
      <c r="D188" s="2">
        <v>3</v>
      </c>
      <c r="E188" s="2">
        <v>2</v>
      </c>
      <c r="F188" s="2">
        <v>1</v>
      </c>
      <c r="G188" s="2">
        <v>1</v>
      </c>
      <c r="H188" s="2">
        <v>1</v>
      </c>
      <c r="I188" s="2">
        <v>1</v>
      </c>
      <c r="J188" s="2">
        <v>2</v>
      </c>
      <c r="K188" s="2" t="b">
        <f t="shared" si="15"/>
        <v>0</v>
      </c>
      <c r="M188" s="11" t="s">
        <v>97</v>
      </c>
      <c r="N188" s="18"/>
      <c r="S188" s="17" t="s">
        <v>25</v>
      </c>
      <c r="T188" s="19">
        <f>COUNTIF($K$506:$K$506, "=TRUE")/COUNTA($K$506:$K$506)</f>
        <v>1</v>
      </c>
    </row>
    <row r="189" spans="1:22">
      <c r="A189" s="2">
        <v>4</v>
      </c>
      <c r="B189" s="2">
        <v>1</v>
      </c>
      <c r="C189" s="2">
        <v>1</v>
      </c>
      <c r="D189" s="2">
        <v>1</v>
      </c>
      <c r="E189" s="2">
        <v>2</v>
      </c>
      <c r="F189" s="2">
        <v>1</v>
      </c>
      <c r="G189" s="2">
        <v>1</v>
      </c>
      <c r="H189" s="2">
        <v>2</v>
      </c>
      <c r="I189" s="2">
        <v>1</v>
      </c>
      <c r="J189" s="2">
        <v>2</v>
      </c>
      <c r="K189" s="2" t="b">
        <f t="shared" si="15"/>
        <v>0</v>
      </c>
      <c r="M189" s="11"/>
      <c r="N189" s="18" t="s">
        <v>26</v>
      </c>
      <c r="S189" s="17"/>
      <c r="T189" s="20"/>
    </row>
    <row r="190" spans="1:22">
      <c r="A190" s="2">
        <v>4</v>
      </c>
      <c r="B190" s="2">
        <v>1</v>
      </c>
      <c r="C190" s="2">
        <v>1</v>
      </c>
      <c r="D190" s="2">
        <v>1</v>
      </c>
      <c r="E190" s="2">
        <v>2</v>
      </c>
      <c r="F190" s="2">
        <v>1</v>
      </c>
      <c r="G190" s="2">
        <v>1</v>
      </c>
      <c r="H190" s="2">
        <v>1</v>
      </c>
      <c r="I190" s="2">
        <v>1</v>
      </c>
      <c r="J190" s="2">
        <v>2</v>
      </c>
      <c r="K190" s="2" t="b">
        <f t="shared" si="15"/>
        <v>0</v>
      </c>
      <c r="M190" s="11" t="s">
        <v>98</v>
      </c>
      <c r="N190" s="18"/>
      <c r="S190" s="17" t="s">
        <v>25</v>
      </c>
      <c r="T190" s="19">
        <f>COUNTIF($K$507:$K$508, "=TRUE")/COUNTA($K$507:$K$508)</f>
        <v>1</v>
      </c>
    </row>
    <row r="191" spans="1:22">
      <c r="A191" s="2">
        <v>4</v>
      </c>
      <c r="B191" s="2">
        <v>1</v>
      </c>
      <c r="C191" s="2">
        <v>1</v>
      </c>
      <c r="D191" s="2">
        <v>1</v>
      </c>
      <c r="E191" s="2">
        <v>2</v>
      </c>
      <c r="F191" s="2">
        <v>1</v>
      </c>
      <c r="G191" s="2">
        <v>1</v>
      </c>
      <c r="H191" s="2">
        <v>1</v>
      </c>
      <c r="I191" s="2">
        <v>1</v>
      </c>
      <c r="J191" s="2">
        <v>2</v>
      </c>
      <c r="K191" s="2" t="b">
        <f t="shared" si="15"/>
        <v>0</v>
      </c>
      <c r="M191" s="18"/>
      <c r="N191" s="18" t="s">
        <v>26</v>
      </c>
    </row>
    <row r="192" spans="1:22">
      <c r="A192" s="2">
        <v>1</v>
      </c>
      <c r="B192" s="2">
        <v>1</v>
      </c>
      <c r="C192" s="2">
        <v>2</v>
      </c>
      <c r="D192" s="2">
        <v>1</v>
      </c>
      <c r="E192" s="2">
        <v>2</v>
      </c>
      <c r="F192" s="2">
        <v>1</v>
      </c>
      <c r="G192" s="2">
        <v>2</v>
      </c>
      <c r="H192" s="2">
        <v>1</v>
      </c>
      <c r="I192" s="2">
        <v>1</v>
      </c>
      <c r="J192" s="2">
        <v>2</v>
      </c>
      <c r="K192" s="2" t="b">
        <f t="shared" si="15"/>
        <v>0</v>
      </c>
      <c r="M192" s="11" t="s">
        <v>83</v>
      </c>
      <c r="N192" s="18"/>
      <c r="S192" s="17" t="s">
        <v>25</v>
      </c>
      <c r="T192" s="19">
        <f>COUNTIF($K$510:$K$510, "=TRUE")/COUNTA($K$510:$K$510)</f>
        <v>1</v>
      </c>
    </row>
    <row r="193" spans="1:22">
      <c r="A193" s="2">
        <v>3</v>
      </c>
      <c r="B193" s="2">
        <v>1</v>
      </c>
      <c r="C193" s="2">
        <v>1</v>
      </c>
      <c r="D193" s="2">
        <v>1</v>
      </c>
      <c r="E193" s="2">
        <v>1</v>
      </c>
      <c r="F193" s="2">
        <v>1</v>
      </c>
      <c r="G193" s="2">
        <v>2</v>
      </c>
      <c r="H193" s="2">
        <v>1</v>
      </c>
      <c r="I193" s="2">
        <v>1</v>
      </c>
      <c r="J193" s="2">
        <v>2</v>
      </c>
      <c r="K193" s="2" t="b">
        <f t="shared" si="15"/>
        <v>0</v>
      </c>
      <c r="M193" s="18"/>
      <c r="N193" s="18" t="s">
        <v>26</v>
      </c>
    </row>
    <row r="194" spans="1:22">
      <c r="A194" s="2">
        <v>6</v>
      </c>
      <c r="B194" s="2">
        <v>1</v>
      </c>
      <c r="C194" s="2">
        <v>1</v>
      </c>
      <c r="D194" s="2">
        <v>3</v>
      </c>
      <c r="E194" s="2">
        <v>2</v>
      </c>
      <c r="F194" s="2">
        <v>1</v>
      </c>
      <c r="G194" s="2">
        <v>1</v>
      </c>
      <c r="H194" s="2">
        <v>1</v>
      </c>
      <c r="I194" s="2">
        <v>1</v>
      </c>
      <c r="J194" s="2">
        <v>2</v>
      </c>
      <c r="K194" s="2" t="b">
        <f t="shared" si="15"/>
        <v>0</v>
      </c>
      <c r="M194" s="11" t="s">
        <v>84</v>
      </c>
      <c r="N194" s="18"/>
      <c r="S194" s="17" t="s">
        <v>25</v>
      </c>
      <c r="T194" s="19">
        <f>COUNTIF($K$511:$K$523, "=TRUE")/COUNTA($K$511:$K$523)</f>
        <v>1</v>
      </c>
    </row>
    <row r="195" spans="1:22">
      <c r="A195" s="2">
        <v>6</v>
      </c>
      <c r="B195" s="2">
        <v>1</v>
      </c>
      <c r="C195" s="2">
        <v>1</v>
      </c>
      <c r="D195" s="2">
        <v>1</v>
      </c>
      <c r="E195" s="2">
        <v>1</v>
      </c>
      <c r="F195" s="2">
        <v>1</v>
      </c>
      <c r="G195" s="2">
        <v>1</v>
      </c>
      <c r="H195" s="2">
        <v>1</v>
      </c>
      <c r="I195" s="2">
        <v>1</v>
      </c>
      <c r="J195" s="2">
        <v>2</v>
      </c>
      <c r="K195" s="2" t="b">
        <f t="shared" ref="K195:K258" si="20">IF(J195=4, TRUE, FALSE)</f>
        <v>0</v>
      </c>
      <c r="M195" s="18"/>
      <c r="N195" s="18" t="s">
        <v>26</v>
      </c>
    </row>
    <row r="196" spans="1:22">
      <c r="A196" s="2">
        <v>4</v>
      </c>
      <c r="B196" s="2">
        <v>1</v>
      </c>
      <c r="C196" s="2">
        <v>1</v>
      </c>
      <c r="D196" s="2">
        <v>1</v>
      </c>
      <c r="E196" s="2">
        <v>2</v>
      </c>
      <c r="F196" s="2">
        <v>1</v>
      </c>
      <c r="G196" s="2">
        <v>1</v>
      </c>
      <c r="H196" s="2">
        <v>1</v>
      </c>
      <c r="I196" s="2">
        <v>1</v>
      </c>
      <c r="J196" s="2">
        <v>2</v>
      </c>
      <c r="K196" s="2" t="b">
        <f t="shared" si="20"/>
        <v>0</v>
      </c>
      <c r="M196" s="11"/>
    </row>
    <row r="197" spans="1:22">
      <c r="A197" s="2">
        <v>5</v>
      </c>
      <c r="B197" s="2">
        <v>1</v>
      </c>
      <c r="C197" s="2">
        <v>1</v>
      </c>
      <c r="D197" s="2">
        <v>1</v>
      </c>
      <c r="E197" s="2">
        <v>2</v>
      </c>
      <c r="F197" s="2">
        <v>1</v>
      </c>
      <c r="G197" s="2">
        <v>1</v>
      </c>
      <c r="H197" s="2">
        <v>1</v>
      </c>
      <c r="I197" s="2">
        <v>1</v>
      </c>
      <c r="J197" s="2">
        <v>2</v>
      </c>
      <c r="K197" s="2" t="b">
        <f t="shared" si="20"/>
        <v>0</v>
      </c>
      <c r="M197" s="11" t="s">
        <v>31</v>
      </c>
      <c r="S197" s="17" t="s">
        <v>25</v>
      </c>
      <c r="T197" s="19">
        <f>COUNTIF($K$524:$K$553, "=TRUE")/COUNTA($K$524:$K$553)</f>
        <v>1</v>
      </c>
      <c r="U197" s="14"/>
      <c r="V197" s="14"/>
    </row>
    <row r="198" spans="1:22">
      <c r="A198" s="2">
        <v>3</v>
      </c>
      <c r="B198" s="2">
        <v>1</v>
      </c>
      <c r="C198" s="2">
        <v>1</v>
      </c>
      <c r="D198" s="2">
        <v>1</v>
      </c>
      <c r="E198" s="2">
        <v>2</v>
      </c>
      <c r="F198" s="2">
        <v>1</v>
      </c>
      <c r="G198" s="2">
        <v>1</v>
      </c>
      <c r="H198" s="2">
        <v>1</v>
      </c>
      <c r="I198" s="2">
        <v>1</v>
      </c>
      <c r="J198" s="2">
        <v>2</v>
      </c>
      <c r="K198" s="2" t="b">
        <f t="shared" si="20"/>
        <v>0</v>
      </c>
      <c r="N198" s="18" t="s">
        <v>26</v>
      </c>
    </row>
    <row r="199" spans="1:22">
      <c r="A199" s="2">
        <v>4</v>
      </c>
      <c r="B199" s="2">
        <v>1</v>
      </c>
      <c r="C199" s="2">
        <v>2</v>
      </c>
      <c r="D199" s="2">
        <v>1</v>
      </c>
      <c r="E199" s="2">
        <v>2</v>
      </c>
      <c r="F199" s="2">
        <v>1</v>
      </c>
      <c r="G199" s="2">
        <v>1</v>
      </c>
      <c r="H199" s="2">
        <v>1</v>
      </c>
      <c r="I199" s="2">
        <v>1</v>
      </c>
      <c r="J199" s="2">
        <v>2</v>
      </c>
      <c r="K199" s="2" t="b">
        <f t="shared" si="20"/>
        <v>0</v>
      </c>
    </row>
    <row r="200" spans="1:22">
      <c r="A200" s="2">
        <v>4</v>
      </c>
      <c r="B200" s="2">
        <v>1</v>
      </c>
      <c r="C200" s="2">
        <v>1</v>
      </c>
      <c r="D200" s="2">
        <v>1</v>
      </c>
      <c r="E200" s="2">
        <v>2</v>
      </c>
      <c r="F200" s="2">
        <v>1</v>
      </c>
      <c r="G200" s="2">
        <v>1</v>
      </c>
      <c r="H200" s="2">
        <v>1</v>
      </c>
      <c r="I200" s="2">
        <v>1</v>
      </c>
      <c r="J200" s="2">
        <v>2</v>
      </c>
      <c r="K200" s="2" t="b">
        <f t="shared" si="20"/>
        <v>0</v>
      </c>
    </row>
    <row r="201" spans="1:22">
      <c r="A201" s="2">
        <v>5</v>
      </c>
      <c r="B201" s="2">
        <v>1</v>
      </c>
      <c r="C201" s="2">
        <v>1</v>
      </c>
      <c r="D201" s="2">
        <v>1</v>
      </c>
      <c r="E201" s="2">
        <v>1</v>
      </c>
      <c r="F201" s="2">
        <v>1</v>
      </c>
      <c r="G201" s="2">
        <v>1</v>
      </c>
      <c r="H201" s="2">
        <v>1</v>
      </c>
      <c r="I201" s="2">
        <v>1</v>
      </c>
      <c r="J201" s="2">
        <v>2</v>
      </c>
      <c r="K201" s="2" t="b">
        <f t="shared" si="20"/>
        <v>0</v>
      </c>
      <c r="M201" s="11" t="s">
        <v>32</v>
      </c>
      <c r="S201" s="17" t="s">
        <v>25</v>
      </c>
      <c r="T201" s="20">
        <f>COUNTIF($K$554:$K$580, "=TRUE")/COUNTA($K$554:$K$580)</f>
        <v>0.92592592592592593</v>
      </c>
      <c r="U201" s="14"/>
      <c r="V201" s="14"/>
    </row>
    <row r="202" spans="1:22">
      <c r="A202" s="2">
        <v>5</v>
      </c>
      <c r="B202" s="2">
        <v>1</v>
      </c>
      <c r="C202" s="2">
        <v>2</v>
      </c>
      <c r="D202" s="2">
        <v>1</v>
      </c>
      <c r="E202" s="2">
        <v>2</v>
      </c>
      <c r="F202" s="2">
        <v>1</v>
      </c>
      <c r="G202" s="2">
        <v>1</v>
      </c>
      <c r="H202" s="2">
        <v>1</v>
      </c>
      <c r="I202" s="2">
        <v>1</v>
      </c>
      <c r="J202" s="2">
        <v>2</v>
      </c>
      <c r="K202" s="2" t="b">
        <f t="shared" si="20"/>
        <v>0</v>
      </c>
      <c r="M202" t="s">
        <v>18</v>
      </c>
      <c r="N202" s="14">
        <f>infoGain(A$554:A$580,$K$554:$K$580)</f>
        <v>0.20483964118081718</v>
      </c>
      <c r="O202" s="14">
        <f t="shared" ref="O202:T202" si="21">infoGain(B$554:B$580,$K$554:$K$580)</f>
        <v>0</v>
      </c>
      <c r="P202" s="14">
        <f t="shared" si="21"/>
        <v>9.3004455675118058E-2</v>
      </c>
      <c r="Q202" s="14">
        <f t="shared" si="21"/>
        <v>0.26075723393366668</v>
      </c>
      <c r="R202" s="14">
        <f t="shared" si="21"/>
        <v>0.23279843755724194</v>
      </c>
      <c r="S202" s="16">
        <f t="shared" si="21"/>
        <v>0.38094658570539008</v>
      </c>
      <c r="T202" s="14">
        <f t="shared" si="21"/>
        <v>0.16242308459834845</v>
      </c>
      <c r="U202" s="14">
        <f>infoGain(H$554:H$580,$K$554:$K$580)</f>
        <v>0.20483964118081718</v>
      </c>
      <c r="V202" s="14">
        <f>infoGain(I$554:I$580,$K$554:$K$580)</f>
        <v>7.4153293107146301E-2</v>
      </c>
    </row>
    <row r="203" spans="1:22">
      <c r="A203" s="2">
        <v>3</v>
      </c>
      <c r="B203" s="2">
        <v>1</v>
      </c>
      <c r="C203" s="2">
        <v>1</v>
      </c>
      <c r="D203" s="2">
        <v>1</v>
      </c>
      <c r="E203" s="2">
        <v>1</v>
      </c>
      <c r="F203" s="2">
        <v>1</v>
      </c>
      <c r="G203" s="2">
        <v>2</v>
      </c>
      <c r="H203" s="2">
        <v>1</v>
      </c>
      <c r="I203" s="2">
        <v>1</v>
      </c>
      <c r="J203" s="2">
        <v>2</v>
      </c>
      <c r="K203" s="2" t="b">
        <f t="shared" si="20"/>
        <v>0</v>
      </c>
      <c r="M203" s="18" t="s">
        <v>35</v>
      </c>
      <c r="N203" s="18" t="str">
        <f>INDEX($N$2:$V$2,MATCH(MAX($N202:$V202),$N202:$V202,0))</f>
        <v xml:space="preserve"> bare_nucleoli</v>
      </c>
    </row>
    <row r="204" spans="1:22">
      <c r="A204" s="2">
        <v>1</v>
      </c>
      <c r="B204" s="2">
        <v>1</v>
      </c>
      <c r="C204" s="2">
        <v>1</v>
      </c>
      <c r="D204" s="2">
        <v>1</v>
      </c>
      <c r="E204" s="2">
        <v>2</v>
      </c>
      <c r="F204" s="2">
        <v>1</v>
      </c>
      <c r="G204" s="2">
        <v>1</v>
      </c>
      <c r="H204" s="2">
        <v>1</v>
      </c>
      <c r="I204" s="2">
        <v>1</v>
      </c>
      <c r="J204" s="2">
        <v>2</v>
      </c>
      <c r="K204" s="2" t="b">
        <f t="shared" si="20"/>
        <v>0</v>
      </c>
      <c r="M204" s="11" t="s">
        <v>38</v>
      </c>
      <c r="N204" s="18"/>
      <c r="S204" s="17" t="s">
        <v>25</v>
      </c>
      <c r="T204" s="19">
        <f>COUNTIF($K$554:$K$555, "=TRUE")/COUNTA($K$554:$K$555)</f>
        <v>1</v>
      </c>
    </row>
    <row r="205" spans="1:22">
      <c r="A205" s="2">
        <v>4</v>
      </c>
      <c r="B205" s="2">
        <v>1</v>
      </c>
      <c r="C205" s="2">
        <v>1</v>
      </c>
      <c r="D205" s="2">
        <v>1</v>
      </c>
      <c r="E205" s="2">
        <v>1</v>
      </c>
      <c r="F205" s="2">
        <v>1</v>
      </c>
      <c r="G205" s="2">
        <v>2</v>
      </c>
      <c r="H205" s="2">
        <v>1</v>
      </c>
      <c r="I205" s="2">
        <v>1</v>
      </c>
      <c r="J205" s="2">
        <v>2</v>
      </c>
      <c r="K205" s="2" t="b">
        <f t="shared" si="20"/>
        <v>0</v>
      </c>
      <c r="M205" s="18"/>
      <c r="N205" s="18" t="s">
        <v>26</v>
      </c>
    </row>
    <row r="206" spans="1:22">
      <c r="A206" s="2">
        <v>3</v>
      </c>
      <c r="B206" s="2">
        <v>1</v>
      </c>
      <c r="C206" s="2">
        <v>1</v>
      </c>
      <c r="D206" s="2">
        <v>1</v>
      </c>
      <c r="E206" s="2">
        <v>1</v>
      </c>
      <c r="F206" s="2">
        <v>1</v>
      </c>
      <c r="G206" s="2">
        <v>2</v>
      </c>
      <c r="H206" s="2">
        <v>1</v>
      </c>
      <c r="I206" s="2">
        <v>1</v>
      </c>
      <c r="J206" s="2">
        <v>2</v>
      </c>
      <c r="K206" s="2" t="b">
        <f t="shared" si="20"/>
        <v>0</v>
      </c>
      <c r="M206" s="11" t="s">
        <v>41</v>
      </c>
      <c r="N206" s="18"/>
      <c r="S206" s="17" t="s">
        <v>25</v>
      </c>
      <c r="T206" s="19">
        <f>COUNTIF($K$556:$K$556, "=TRUE")/COUNTA($K$556:$K$556)</f>
        <v>1</v>
      </c>
    </row>
    <row r="207" spans="1:22">
      <c r="A207" s="2">
        <v>1</v>
      </c>
      <c r="B207" s="2">
        <v>1</v>
      </c>
      <c r="C207" s="2">
        <v>1</v>
      </c>
      <c r="D207" s="2">
        <v>1</v>
      </c>
      <c r="E207" s="2">
        <v>1</v>
      </c>
      <c r="F207" s="2">
        <v>1</v>
      </c>
      <c r="G207" s="2">
        <v>1</v>
      </c>
      <c r="H207" s="2">
        <v>1</v>
      </c>
      <c r="I207" s="2">
        <v>1</v>
      </c>
      <c r="J207" s="2">
        <v>2</v>
      </c>
      <c r="K207" s="2" t="b">
        <f t="shared" si="20"/>
        <v>0</v>
      </c>
      <c r="M207" s="18"/>
      <c r="N207" s="18" t="s">
        <v>26</v>
      </c>
    </row>
    <row r="208" spans="1:22">
      <c r="A208" s="2">
        <v>4</v>
      </c>
      <c r="B208" s="2">
        <v>1</v>
      </c>
      <c r="C208" s="2">
        <v>1</v>
      </c>
      <c r="D208" s="2">
        <v>1</v>
      </c>
      <c r="E208" s="2">
        <v>2</v>
      </c>
      <c r="F208" s="2">
        <v>1</v>
      </c>
      <c r="G208" s="2">
        <v>2</v>
      </c>
      <c r="H208" s="2">
        <v>1</v>
      </c>
      <c r="I208" s="2">
        <v>1</v>
      </c>
      <c r="J208" s="2">
        <v>2</v>
      </c>
      <c r="K208" s="2" t="b">
        <f t="shared" si="20"/>
        <v>0</v>
      </c>
      <c r="M208" s="11" t="s">
        <v>42</v>
      </c>
      <c r="N208" s="18"/>
      <c r="S208" s="17" t="s">
        <v>25</v>
      </c>
      <c r="T208" s="19">
        <f>COUNTIF($K$557:$K$557, "=TRUE")/COUNTA($K$557:$K$557)</f>
        <v>1</v>
      </c>
    </row>
    <row r="209" spans="1:22">
      <c r="A209" s="2">
        <v>4</v>
      </c>
      <c r="B209" s="2">
        <v>1</v>
      </c>
      <c r="C209" s="2">
        <v>1</v>
      </c>
      <c r="D209" s="2">
        <v>1</v>
      </c>
      <c r="E209" s="2">
        <v>2</v>
      </c>
      <c r="F209" s="2">
        <v>1</v>
      </c>
      <c r="G209" s="2">
        <v>2</v>
      </c>
      <c r="H209" s="2">
        <v>1</v>
      </c>
      <c r="I209" s="2">
        <v>1</v>
      </c>
      <c r="J209" s="2">
        <v>2</v>
      </c>
      <c r="K209" s="2" t="b">
        <f t="shared" si="20"/>
        <v>0</v>
      </c>
      <c r="M209" s="18"/>
      <c r="N209" s="18" t="s">
        <v>26</v>
      </c>
    </row>
    <row r="210" spans="1:22">
      <c r="A210" s="2">
        <v>6</v>
      </c>
      <c r="B210" s="2">
        <v>1</v>
      </c>
      <c r="C210" s="2">
        <v>1</v>
      </c>
      <c r="D210" s="2">
        <v>1</v>
      </c>
      <c r="E210" s="2">
        <v>2</v>
      </c>
      <c r="F210" s="2">
        <v>1</v>
      </c>
      <c r="G210" s="2">
        <v>3</v>
      </c>
      <c r="H210" s="2">
        <v>1</v>
      </c>
      <c r="I210" s="2">
        <v>1</v>
      </c>
      <c r="J210" s="2">
        <v>2</v>
      </c>
      <c r="K210" s="2" t="b">
        <f t="shared" si="20"/>
        <v>0</v>
      </c>
      <c r="M210" s="11" t="s">
        <v>44</v>
      </c>
      <c r="N210" s="18"/>
      <c r="S210" s="17" t="s">
        <v>25</v>
      </c>
      <c r="T210" s="19">
        <f>COUNTIF($K$558:$K$558, "=TRUE")/COUNTA($K$558:$K$558)</f>
        <v>1</v>
      </c>
    </row>
    <row r="211" spans="1:22">
      <c r="A211" s="2">
        <v>4</v>
      </c>
      <c r="B211" s="2">
        <v>1</v>
      </c>
      <c r="C211" s="2">
        <v>1</v>
      </c>
      <c r="D211" s="2">
        <v>1</v>
      </c>
      <c r="E211" s="2">
        <v>2</v>
      </c>
      <c r="F211" s="2">
        <v>1</v>
      </c>
      <c r="G211" s="2">
        <v>2</v>
      </c>
      <c r="H211" s="2">
        <v>1</v>
      </c>
      <c r="I211" s="2">
        <v>1</v>
      </c>
      <c r="J211" s="2">
        <v>2</v>
      </c>
      <c r="K211" s="2" t="b">
        <f t="shared" si="20"/>
        <v>0</v>
      </c>
      <c r="M211" s="18"/>
      <c r="N211" s="18" t="s">
        <v>26</v>
      </c>
    </row>
    <row r="212" spans="1:22">
      <c r="A212" s="2">
        <v>4</v>
      </c>
      <c r="B212" s="2">
        <v>1</v>
      </c>
      <c r="C212" s="2">
        <v>1</v>
      </c>
      <c r="D212" s="2">
        <v>2</v>
      </c>
      <c r="E212" s="2">
        <v>2</v>
      </c>
      <c r="F212" s="2">
        <v>1</v>
      </c>
      <c r="G212" s="2">
        <v>2</v>
      </c>
      <c r="H212" s="2">
        <v>1</v>
      </c>
      <c r="I212" s="2">
        <v>1</v>
      </c>
      <c r="J212" s="2">
        <v>2</v>
      </c>
      <c r="K212" s="2" t="b">
        <f t="shared" si="20"/>
        <v>0</v>
      </c>
      <c r="M212" s="11" t="s">
        <v>99</v>
      </c>
      <c r="N212" s="18"/>
      <c r="S212" s="17" t="s">
        <v>25</v>
      </c>
      <c r="T212" s="19">
        <f>COUNTIF($K$559:$K$560, "=TRUE")/COUNTA($K$559:$K$560)</f>
        <v>1</v>
      </c>
    </row>
    <row r="213" spans="1:22">
      <c r="A213" s="2">
        <v>4</v>
      </c>
      <c r="B213" s="2">
        <v>1</v>
      </c>
      <c r="C213" s="2">
        <v>1</v>
      </c>
      <c r="D213" s="2">
        <v>1</v>
      </c>
      <c r="E213" s="2">
        <v>2</v>
      </c>
      <c r="F213" s="2">
        <v>1</v>
      </c>
      <c r="G213" s="2">
        <v>3</v>
      </c>
      <c r="H213" s="2">
        <v>1</v>
      </c>
      <c r="I213" s="2">
        <v>1</v>
      </c>
      <c r="J213" s="2">
        <v>2</v>
      </c>
      <c r="K213" s="2" t="b">
        <f t="shared" si="20"/>
        <v>0</v>
      </c>
      <c r="M213" s="18"/>
      <c r="N213" s="18" t="s">
        <v>26</v>
      </c>
    </row>
    <row r="214" spans="1:22">
      <c r="A214" s="2">
        <v>1</v>
      </c>
      <c r="B214" s="2">
        <v>1</v>
      </c>
      <c r="C214" s="2">
        <v>1</v>
      </c>
      <c r="D214" s="2">
        <v>1</v>
      </c>
      <c r="E214" s="2">
        <v>2</v>
      </c>
      <c r="F214" s="2">
        <v>1</v>
      </c>
      <c r="G214" s="2">
        <v>1</v>
      </c>
      <c r="H214" s="2">
        <v>1</v>
      </c>
      <c r="I214" s="2">
        <v>1</v>
      </c>
      <c r="J214" s="2">
        <v>2</v>
      </c>
      <c r="K214" s="2" t="b">
        <f t="shared" si="20"/>
        <v>0</v>
      </c>
      <c r="M214" s="11" t="s">
        <v>72</v>
      </c>
      <c r="N214" s="18"/>
      <c r="S214" s="17" t="s">
        <v>25</v>
      </c>
      <c r="T214" s="19">
        <f>COUNTIF($K$561:$K$561, "=TRUE")/COUNTA($K$561:$K$561)</f>
        <v>1</v>
      </c>
    </row>
    <row r="215" spans="1:22">
      <c r="A215" s="2">
        <v>5</v>
      </c>
      <c r="B215" s="2">
        <v>1</v>
      </c>
      <c r="C215" s="2">
        <v>1</v>
      </c>
      <c r="D215" s="2">
        <v>1</v>
      </c>
      <c r="E215" s="2">
        <v>2</v>
      </c>
      <c r="F215" s="2">
        <v>1</v>
      </c>
      <c r="G215" s="2">
        <v>1</v>
      </c>
      <c r="H215" s="2">
        <v>1</v>
      </c>
      <c r="I215" s="2">
        <v>1</v>
      </c>
      <c r="J215" s="2">
        <v>2</v>
      </c>
      <c r="K215" s="2" t="b">
        <f t="shared" si="20"/>
        <v>0</v>
      </c>
      <c r="M215" s="18"/>
      <c r="N215" s="18" t="s">
        <v>26</v>
      </c>
    </row>
    <row r="216" spans="1:22">
      <c r="A216" s="2">
        <v>2</v>
      </c>
      <c r="B216" s="2">
        <v>1</v>
      </c>
      <c r="C216" s="2">
        <v>1</v>
      </c>
      <c r="D216" s="2">
        <v>1</v>
      </c>
      <c r="E216" s="2">
        <v>2</v>
      </c>
      <c r="F216" s="2">
        <v>1</v>
      </c>
      <c r="G216" s="2">
        <v>1</v>
      </c>
      <c r="H216" s="2">
        <v>1</v>
      </c>
      <c r="I216" s="2">
        <v>1</v>
      </c>
      <c r="J216" s="2">
        <v>2</v>
      </c>
      <c r="K216" s="2" t="b">
        <f t="shared" si="20"/>
        <v>0</v>
      </c>
      <c r="M216" s="11" t="s">
        <v>43</v>
      </c>
      <c r="N216" s="18"/>
      <c r="S216" s="17" t="s">
        <v>25</v>
      </c>
      <c r="T216" s="19">
        <f>COUNTIF($K$562:$K$578, "=TRUE")/COUNTA($K$562:$K$578)</f>
        <v>1</v>
      </c>
    </row>
    <row r="217" spans="1:22">
      <c r="A217" s="2">
        <v>1</v>
      </c>
      <c r="B217" s="2">
        <v>1</v>
      </c>
      <c r="C217" s="2">
        <v>1</v>
      </c>
      <c r="D217" s="2">
        <v>1</v>
      </c>
      <c r="E217" s="2">
        <v>2</v>
      </c>
      <c r="F217" s="2">
        <v>1</v>
      </c>
      <c r="G217" s="2">
        <v>1</v>
      </c>
      <c r="H217" s="2">
        <v>1</v>
      </c>
      <c r="I217" s="2">
        <v>1</v>
      </c>
      <c r="J217" s="2">
        <v>2</v>
      </c>
      <c r="K217" s="2" t="b">
        <f t="shared" si="20"/>
        <v>0</v>
      </c>
      <c r="M217" s="18"/>
      <c r="N217" s="18" t="s">
        <v>26</v>
      </c>
    </row>
    <row r="218" spans="1:22">
      <c r="A218" s="2">
        <v>5</v>
      </c>
      <c r="B218" s="2">
        <v>1</v>
      </c>
      <c r="C218" s="2">
        <v>1</v>
      </c>
      <c r="D218" s="2">
        <v>1</v>
      </c>
      <c r="E218" s="2">
        <v>2</v>
      </c>
      <c r="F218" s="2">
        <v>1</v>
      </c>
      <c r="G218" s="2">
        <v>2</v>
      </c>
      <c r="H218" s="2">
        <v>1</v>
      </c>
      <c r="I218" s="2">
        <v>1</v>
      </c>
      <c r="J218" s="2">
        <v>2</v>
      </c>
      <c r="K218" s="2" t="b">
        <f t="shared" si="20"/>
        <v>0</v>
      </c>
      <c r="M218" s="11" t="s">
        <v>45</v>
      </c>
      <c r="N218" s="18"/>
      <c r="S218" s="17" t="s">
        <v>25</v>
      </c>
      <c r="T218" s="19">
        <f>COUNTIF($K$579:$K$580, "=TRUE")/COUNTA($K$579:$K$580)</f>
        <v>0</v>
      </c>
    </row>
    <row r="219" spans="1:22">
      <c r="A219" s="2">
        <v>5</v>
      </c>
      <c r="B219" s="2">
        <v>1</v>
      </c>
      <c r="C219" s="2">
        <v>1</v>
      </c>
      <c r="D219" s="2">
        <v>1</v>
      </c>
      <c r="E219" s="2">
        <v>2</v>
      </c>
      <c r="F219" s="2">
        <v>1</v>
      </c>
      <c r="G219" s="2">
        <v>1</v>
      </c>
      <c r="H219" s="2">
        <v>1</v>
      </c>
      <c r="I219" s="2">
        <v>1</v>
      </c>
      <c r="J219" s="2">
        <v>2</v>
      </c>
      <c r="K219" s="2" t="b">
        <f t="shared" si="20"/>
        <v>0</v>
      </c>
      <c r="M219" s="18"/>
      <c r="N219" s="18" t="s">
        <v>39</v>
      </c>
    </row>
    <row r="220" spans="1:22">
      <c r="A220" s="2">
        <v>3</v>
      </c>
      <c r="B220" s="2">
        <v>1</v>
      </c>
      <c r="C220" s="2">
        <v>1</v>
      </c>
      <c r="D220" s="2">
        <v>1</v>
      </c>
      <c r="E220" s="2">
        <v>1</v>
      </c>
      <c r="F220" s="2">
        <v>1</v>
      </c>
      <c r="G220" s="2">
        <v>2</v>
      </c>
      <c r="H220" s="2">
        <v>1</v>
      </c>
      <c r="I220" s="2">
        <v>1</v>
      </c>
      <c r="J220" s="2">
        <v>2</v>
      </c>
      <c r="K220" s="2" t="b">
        <f t="shared" si="20"/>
        <v>0</v>
      </c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1:22">
      <c r="A221" s="2">
        <v>1</v>
      </c>
      <c r="B221" s="2">
        <v>1</v>
      </c>
      <c r="C221" s="2">
        <v>1</v>
      </c>
      <c r="D221" s="2">
        <v>1</v>
      </c>
      <c r="E221" s="2">
        <v>1</v>
      </c>
      <c r="F221" s="2">
        <v>1</v>
      </c>
      <c r="G221" s="2">
        <v>1</v>
      </c>
      <c r="H221" s="2">
        <v>1</v>
      </c>
      <c r="I221" s="2">
        <v>1</v>
      </c>
      <c r="J221" s="2">
        <v>2</v>
      </c>
      <c r="K221" s="2" t="b">
        <f t="shared" si="20"/>
        <v>0</v>
      </c>
    </row>
    <row r="222" spans="1:22">
      <c r="A222" s="2">
        <v>1</v>
      </c>
      <c r="B222" s="2">
        <v>1</v>
      </c>
      <c r="C222" s="2">
        <v>1</v>
      </c>
      <c r="D222" s="2">
        <v>1</v>
      </c>
      <c r="E222" s="2">
        <v>1</v>
      </c>
      <c r="F222" s="2">
        <v>1</v>
      </c>
      <c r="G222" s="2">
        <v>2</v>
      </c>
      <c r="H222" s="2">
        <v>1</v>
      </c>
      <c r="I222" s="2">
        <v>1</v>
      </c>
      <c r="J222" s="2">
        <v>2</v>
      </c>
      <c r="K222" s="2" t="b">
        <f t="shared" si="20"/>
        <v>0</v>
      </c>
      <c r="M222" s="11" t="s">
        <v>33</v>
      </c>
      <c r="S222" s="17" t="s">
        <v>25</v>
      </c>
      <c r="T222" s="20">
        <f>COUNTIF($K$581:$K$599, "=TRUE")/COUNTA($K$581:$K$599)</f>
        <v>0.94736842105263153</v>
      </c>
      <c r="U222" s="21"/>
      <c r="V222" s="21"/>
    </row>
    <row r="223" spans="1:22">
      <c r="A223" s="2">
        <v>3</v>
      </c>
      <c r="B223" s="2">
        <v>1</v>
      </c>
      <c r="C223" s="2">
        <v>2</v>
      </c>
      <c r="D223" s="2">
        <v>2</v>
      </c>
      <c r="E223" s="2">
        <v>2</v>
      </c>
      <c r="F223" s="2">
        <v>1</v>
      </c>
      <c r="G223" s="2">
        <v>1</v>
      </c>
      <c r="H223" s="2">
        <v>1</v>
      </c>
      <c r="I223" s="2">
        <v>1</v>
      </c>
      <c r="J223" s="2">
        <v>2</v>
      </c>
      <c r="K223" s="2" t="b">
        <f t="shared" si="20"/>
        <v>0</v>
      </c>
      <c r="M223" t="s">
        <v>18</v>
      </c>
      <c r="N223" s="14">
        <f>infoGain(A$581:A$599,$K$581:$K$599)</f>
        <v>0.10749117131735236</v>
      </c>
      <c r="O223" s="14">
        <f t="shared" ref="O223:T223" si="22">infoGain(B$581:B$599,$K$581:$K$599)</f>
        <v>1.1102230246251565E-16</v>
      </c>
      <c r="P223" s="14">
        <f t="shared" si="22"/>
        <v>9.2202010504020104E-2</v>
      </c>
      <c r="Q223" s="14">
        <f t="shared" si="22"/>
        <v>0.19220909102455297</v>
      </c>
      <c r="R223" s="14">
        <f t="shared" si="22"/>
        <v>6.8603009677354498E-2</v>
      </c>
      <c r="S223" s="16">
        <f t="shared" si="22"/>
        <v>0.29747224891928981</v>
      </c>
      <c r="T223" s="14">
        <f t="shared" si="22"/>
        <v>0.29747224891928981</v>
      </c>
      <c r="U223" s="14">
        <f>infoGain(H$581:H$599,$K$581:$K$599)</f>
        <v>0.19220909102455297</v>
      </c>
      <c r="V223" s="14">
        <f>infoGain(I$581:I$599,$K$581:$K$599)</f>
        <v>4.3026624912097799E-2</v>
      </c>
    </row>
    <row r="224" spans="1:22">
      <c r="A224" s="2">
        <v>1</v>
      </c>
      <c r="B224" s="2">
        <v>1</v>
      </c>
      <c r="C224" s="2">
        <v>1</v>
      </c>
      <c r="D224" s="2">
        <v>1</v>
      </c>
      <c r="E224" s="2">
        <v>3</v>
      </c>
      <c r="F224" s="2">
        <v>1</v>
      </c>
      <c r="G224" s="2">
        <v>1</v>
      </c>
      <c r="H224" s="2">
        <v>1</v>
      </c>
      <c r="I224" s="2">
        <v>1</v>
      </c>
      <c r="J224" s="2">
        <v>2</v>
      </c>
      <c r="K224" s="2" t="b">
        <f t="shared" si="20"/>
        <v>0</v>
      </c>
      <c r="M224" s="18" t="s">
        <v>35</v>
      </c>
      <c r="N224" s="18" t="str">
        <f>INDEX($N$2:$V$2,MATCH(MAX($N223:$V223),$N223:$V223,0))</f>
        <v xml:space="preserve"> bare_nucleoli</v>
      </c>
    </row>
    <row r="225" spans="1:20">
      <c r="A225" s="2">
        <v>4</v>
      </c>
      <c r="B225" s="2">
        <v>1</v>
      </c>
      <c r="C225" s="2">
        <v>1</v>
      </c>
      <c r="D225" s="2">
        <v>1</v>
      </c>
      <c r="E225" s="2">
        <v>3</v>
      </c>
      <c r="F225" s="2">
        <v>1</v>
      </c>
      <c r="G225" s="2">
        <v>1</v>
      </c>
      <c r="H225" s="2">
        <v>1</v>
      </c>
      <c r="I225" s="2">
        <v>1</v>
      </c>
      <c r="J225" s="2">
        <v>2</v>
      </c>
      <c r="K225" s="2" t="b">
        <f t="shared" si="20"/>
        <v>0</v>
      </c>
      <c r="M225" s="11" t="s">
        <v>38</v>
      </c>
      <c r="N225" s="18"/>
      <c r="S225" s="17" t="s">
        <v>25</v>
      </c>
      <c r="T225" s="19">
        <f>COUNTIF($K$581:$K$581, "=TRUE")/COUNTA($K$581:$K$581)</f>
        <v>1</v>
      </c>
    </row>
    <row r="226" spans="1:20">
      <c r="A226" s="2">
        <v>3</v>
      </c>
      <c r="B226" s="2">
        <v>1</v>
      </c>
      <c r="C226" s="2">
        <v>1</v>
      </c>
      <c r="D226" s="2">
        <v>1</v>
      </c>
      <c r="E226" s="2">
        <v>2</v>
      </c>
      <c r="F226" s="2">
        <v>1</v>
      </c>
      <c r="G226" s="2">
        <v>2</v>
      </c>
      <c r="H226" s="2">
        <v>1</v>
      </c>
      <c r="I226" s="2">
        <v>1</v>
      </c>
      <c r="J226" s="2">
        <v>2</v>
      </c>
      <c r="K226" s="2" t="b">
        <f t="shared" si="20"/>
        <v>0</v>
      </c>
      <c r="M226" s="18"/>
      <c r="N226" s="18" t="s">
        <v>26</v>
      </c>
    </row>
    <row r="227" spans="1:20">
      <c r="A227" s="2">
        <v>3</v>
      </c>
      <c r="B227" s="2">
        <v>1</v>
      </c>
      <c r="C227" s="2">
        <v>1</v>
      </c>
      <c r="D227" s="2">
        <v>2</v>
      </c>
      <c r="E227" s="2">
        <v>2</v>
      </c>
      <c r="F227" s="2">
        <v>1</v>
      </c>
      <c r="G227" s="2">
        <v>1</v>
      </c>
      <c r="H227" s="2">
        <v>1</v>
      </c>
      <c r="I227" s="2">
        <v>1</v>
      </c>
      <c r="J227" s="2">
        <v>2</v>
      </c>
      <c r="K227" s="2" t="b">
        <f t="shared" si="20"/>
        <v>0</v>
      </c>
      <c r="M227" s="11" t="s">
        <v>40</v>
      </c>
      <c r="N227" s="18"/>
      <c r="S227" s="17" t="s">
        <v>25</v>
      </c>
      <c r="T227" s="19">
        <f>COUNTIF($K$582:$K$582, "=TRUE")/COUNTA($K$582:$K$582)</f>
        <v>1</v>
      </c>
    </row>
    <row r="228" spans="1:20">
      <c r="A228" s="2">
        <v>4</v>
      </c>
      <c r="B228" s="2">
        <v>1</v>
      </c>
      <c r="C228" s="2">
        <v>1</v>
      </c>
      <c r="D228" s="2">
        <v>1</v>
      </c>
      <c r="E228" s="2">
        <v>2</v>
      </c>
      <c r="F228" s="2">
        <v>1</v>
      </c>
      <c r="G228" s="2">
        <v>1</v>
      </c>
      <c r="H228" s="2">
        <v>1</v>
      </c>
      <c r="I228" s="2">
        <v>1</v>
      </c>
      <c r="J228" s="2">
        <v>2</v>
      </c>
      <c r="K228" s="2" t="b">
        <f t="shared" si="20"/>
        <v>0</v>
      </c>
      <c r="M228" s="18"/>
      <c r="N228" s="18" t="s">
        <v>26</v>
      </c>
    </row>
    <row r="229" spans="1:20">
      <c r="A229" s="2">
        <v>4</v>
      </c>
      <c r="B229" s="2">
        <v>1</v>
      </c>
      <c r="C229" s="2">
        <v>1</v>
      </c>
      <c r="D229" s="2">
        <v>1</v>
      </c>
      <c r="E229" s="2">
        <v>2</v>
      </c>
      <c r="F229" s="2">
        <v>1</v>
      </c>
      <c r="G229" s="2">
        <v>3</v>
      </c>
      <c r="H229" s="2">
        <v>1</v>
      </c>
      <c r="I229" s="2">
        <v>1</v>
      </c>
      <c r="J229" s="2">
        <v>2</v>
      </c>
      <c r="K229" s="2" t="b">
        <f t="shared" si="20"/>
        <v>0</v>
      </c>
      <c r="M229" s="11" t="s">
        <v>41</v>
      </c>
      <c r="N229" s="18"/>
      <c r="S229" s="17" t="s">
        <v>25</v>
      </c>
      <c r="T229" s="19">
        <f>COUNTIF($K$583:$K$583, "=TRUE")/COUNTA($K$583:$K$583)</f>
        <v>1</v>
      </c>
    </row>
    <row r="230" spans="1:20">
      <c r="A230" s="2">
        <v>6</v>
      </c>
      <c r="B230" s="2">
        <v>1</v>
      </c>
      <c r="C230" s="2">
        <v>3</v>
      </c>
      <c r="D230" s="2">
        <v>2</v>
      </c>
      <c r="E230" s="2">
        <v>2</v>
      </c>
      <c r="F230" s="2">
        <v>1</v>
      </c>
      <c r="G230" s="2">
        <v>1</v>
      </c>
      <c r="H230" s="2">
        <v>1</v>
      </c>
      <c r="I230" s="2">
        <v>1</v>
      </c>
      <c r="J230" s="2">
        <v>2</v>
      </c>
      <c r="K230" s="2" t="b">
        <f t="shared" si="20"/>
        <v>0</v>
      </c>
      <c r="M230" s="18"/>
      <c r="N230" s="18" t="s">
        <v>26</v>
      </c>
    </row>
    <row r="231" spans="1:20">
      <c r="A231" s="2">
        <v>4</v>
      </c>
      <c r="B231" s="2">
        <v>1</v>
      </c>
      <c r="C231" s="2">
        <v>1</v>
      </c>
      <c r="D231" s="2">
        <v>1</v>
      </c>
      <c r="E231" s="2">
        <v>1</v>
      </c>
      <c r="F231" s="2">
        <v>1</v>
      </c>
      <c r="G231" s="2">
        <v>2</v>
      </c>
      <c r="H231" s="2">
        <v>1</v>
      </c>
      <c r="I231" s="2">
        <v>1</v>
      </c>
      <c r="J231" s="2">
        <v>2</v>
      </c>
      <c r="K231" s="2" t="b">
        <f t="shared" si="20"/>
        <v>0</v>
      </c>
      <c r="M231" s="11" t="s">
        <v>44</v>
      </c>
      <c r="N231" s="18"/>
      <c r="S231" s="17" t="s">
        <v>25</v>
      </c>
      <c r="T231" s="19">
        <f>COUNTIF($K$584:$K$585, "=TRUE")/COUNTA($K$584:$K$585)</f>
        <v>1</v>
      </c>
    </row>
    <row r="232" spans="1:20">
      <c r="A232" s="2">
        <v>1</v>
      </c>
      <c r="B232" s="2">
        <v>1</v>
      </c>
      <c r="C232" s="2">
        <v>1</v>
      </c>
      <c r="D232" s="2">
        <v>1</v>
      </c>
      <c r="E232" s="2">
        <v>1</v>
      </c>
      <c r="F232" s="2">
        <v>1</v>
      </c>
      <c r="G232" s="2">
        <v>3</v>
      </c>
      <c r="H232" s="2">
        <v>1</v>
      </c>
      <c r="I232" s="2">
        <v>1</v>
      </c>
      <c r="J232" s="2">
        <v>2</v>
      </c>
      <c r="K232" s="2" t="b">
        <f t="shared" si="20"/>
        <v>0</v>
      </c>
      <c r="M232" s="18"/>
      <c r="N232" s="18" t="s">
        <v>26</v>
      </c>
    </row>
    <row r="233" spans="1:20">
      <c r="A233" s="2">
        <v>3</v>
      </c>
      <c r="B233" s="2">
        <v>1</v>
      </c>
      <c r="C233" s="2">
        <v>1</v>
      </c>
      <c r="D233" s="2">
        <v>1</v>
      </c>
      <c r="E233" s="2">
        <v>2</v>
      </c>
      <c r="F233" s="2">
        <v>1</v>
      </c>
      <c r="G233" s="2">
        <v>2</v>
      </c>
      <c r="H233" s="2">
        <v>1</v>
      </c>
      <c r="I233" s="2">
        <v>1</v>
      </c>
      <c r="J233" s="2">
        <v>2</v>
      </c>
      <c r="K233" s="2" t="b">
        <f t="shared" si="20"/>
        <v>0</v>
      </c>
      <c r="M233" s="11" t="s">
        <v>71</v>
      </c>
      <c r="N233" s="18"/>
      <c r="S233" s="17" t="s">
        <v>25</v>
      </c>
      <c r="T233" s="19">
        <f>COUNTIF($K$586:$K$586, "=TRUE")/COUNTA($K$586:$K$586)</f>
        <v>0</v>
      </c>
    </row>
    <row r="234" spans="1:20">
      <c r="A234" s="2">
        <v>2</v>
      </c>
      <c r="B234" s="2">
        <v>1</v>
      </c>
      <c r="C234" s="2">
        <v>1</v>
      </c>
      <c r="D234" s="2">
        <v>1</v>
      </c>
      <c r="E234" s="2">
        <v>2</v>
      </c>
      <c r="F234" s="2">
        <v>1</v>
      </c>
      <c r="G234" s="2">
        <v>2</v>
      </c>
      <c r="H234" s="2">
        <v>1</v>
      </c>
      <c r="I234" s="2">
        <v>1</v>
      </c>
      <c r="J234" s="2">
        <v>2</v>
      </c>
      <c r="K234" s="2" t="b">
        <f t="shared" si="20"/>
        <v>0</v>
      </c>
      <c r="M234" s="18"/>
      <c r="N234" s="18" t="s">
        <v>39</v>
      </c>
    </row>
    <row r="235" spans="1:20">
      <c r="A235" s="2">
        <v>1</v>
      </c>
      <c r="B235" s="2">
        <v>1</v>
      </c>
      <c r="C235" s="2">
        <v>3</v>
      </c>
      <c r="D235" s="2">
        <v>2</v>
      </c>
      <c r="E235" s="2">
        <v>2</v>
      </c>
      <c r="F235" s="2">
        <v>1</v>
      </c>
      <c r="G235" s="2">
        <v>3</v>
      </c>
      <c r="H235" s="2">
        <v>1</v>
      </c>
      <c r="I235" s="2">
        <v>1</v>
      </c>
      <c r="J235" s="2">
        <v>2</v>
      </c>
      <c r="K235" s="2" t="b">
        <f t="shared" si="20"/>
        <v>0</v>
      </c>
      <c r="M235" s="11" t="s">
        <v>72</v>
      </c>
      <c r="N235" s="18"/>
      <c r="S235" s="17" t="s">
        <v>25</v>
      </c>
      <c r="T235" s="19">
        <f>COUNTIF($K$587:$K$588, "=TRUE")/COUNTA($K$587:$K$588)</f>
        <v>1</v>
      </c>
    </row>
    <row r="236" spans="1:20">
      <c r="A236" s="2">
        <v>5</v>
      </c>
      <c r="B236" s="2">
        <v>1</v>
      </c>
      <c r="C236" s="2">
        <v>1</v>
      </c>
      <c r="D236" s="2">
        <v>1</v>
      </c>
      <c r="E236" s="2">
        <v>2</v>
      </c>
      <c r="F236" s="2">
        <v>1</v>
      </c>
      <c r="G236" s="2">
        <v>3</v>
      </c>
      <c r="H236" s="2">
        <v>1</v>
      </c>
      <c r="I236" s="2">
        <v>1</v>
      </c>
      <c r="J236" s="2">
        <v>2</v>
      </c>
      <c r="K236" s="2" t="b">
        <f t="shared" si="20"/>
        <v>0</v>
      </c>
      <c r="M236" s="18"/>
      <c r="N236" s="18" t="s">
        <v>26</v>
      </c>
    </row>
    <row r="237" spans="1:20">
      <c r="A237" s="2">
        <v>5</v>
      </c>
      <c r="B237" s="2">
        <v>1</v>
      </c>
      <c r="C237" s="2">
        <v>2</v>
      </c>
      <c r="D237" s="2">
        <v>1</v>
      </c>
      <c r="E237" s="2">
        <v>2</v>
      </c>
      <c r="F237" s="2">
        <v>1</v>
      </c>
      <c r="G237" s="2">
        <v>3</v>
      </c>
      <c r="H237" s="2">
        <v>1</v>
      </c>
      <c r="I237" s="2">
        <v>1</v>
      </c>
      <c r="J237" s="2">
        <v>2</v>
      </c>
      <c r="K237" s="2" t="b">
        <f t="shared" si="20"/>
        <v>0</v>
      </c>
      <c r="M237" s="11" t="s">
        <v>43</v>
      </c>
      <c r="N237" s="18"/>
      <c r="S237" s="17" t="s">
        <v>25</v>
      </c>
      <c r="T237" s="19">
        <f>COUNTIF($K$589:$K$599, "=TRUE")/COUNTA($K$589:$K$599)</f>
        <v>1</v>
      </c>
    </row>
    <row r="238" spans="1:20">
      <c r="A238" s="2">
        <v>4</v>
      </c>
      <c r="B238" s="2">
        <v>1</v>
      </c>
      <c r="C238" s="2">
        <v>1</v>
      </c>
      <c r="D238" s="2">
        <v>1</v>
      </c>
      <c r="E238" s="2">
        <v>2</v>
      </c>
      <c r="F238" s="2">
        <v>1</v>
      </c>
      <c r="G238" s="2">
        <v>2</v>
      </c>
      <c r="H238" s="2">
        <v>1</v>
      </c>
      <c r="I238" s="2">
        <v>1</v>
      </c>
      <c r="J238" s="2">
        <v>2</v>
      </c>
      <c r="K238" s="2" t="b">
        <f t="shared" si="20"/>
        <v>0</v>
      </c>
      <c r="M238" s="18"/>
      <c r="N238" s="18" t="s">
        <v>26</v>
      </c>
    </row>
    <row r="239" spans="1:20">
      <c r="A239" s="2">
        <v>6</v>
      </c>
      <c r="B239" s="2">
        <v>1</v>
      </c>
      <c r="C239" s="2">
        <v>1</v>
      </c>
      <c r="D239" s="2">
        <v>1</v>
      </c>
      <c r="E239" s="2">
        <v>2</v>
      </c>
      <c r="F239" s="2">
        <v>1</v>
      </c>
      <c r="G239" s="2">
        <v>2</v>
      </c>
      <c r="H239" s="2">
        <v>1</v>
      </c>
      <c r="I239" s="2">
        <v>1</v>
      </c>
      <c r="J239" s="2">
        <v>2</v>
      </c>
      <c r="K239" s="2" t="b">
        <f t="shared" si="20"/>
        <v>0</v>
      </c>
    </row>
    <row r="240" spans="1:20">
      <c r="A240" s="2">
        <v>3</v>
      </c>
      <c r="B240" s="2">
        <v>1</v>
      </c>
      <c r="C240" s="2">
        <v>1</v>
      </c>
      <c r="D240" s="2">
        <v>1</v>
      </c>
      <c r="E240" s="2">
        <v>2</v>
      </c>
      <c r="F240" s="2">
        <v>1</v>
      </c>
      <c r="G240" s="2">
        <v>1</v>
      </c>
      <c r="H240" s="2">
        <v>1</v>
      </c>
      <c r="I240" s="2">
        <v>1</v>
      </c>
      <c r="J240" s="2">
        <v>2</v>
      </c>
      <c r="K240" s="2" t="b">
        <f t="shared" si="20"/>
        <v>0</v>
      </c>
      <c r="M240" s="11" t="s">
        <v>34</v>
      </c>
      <c r="S240" s="17" t="s">
        <v>25</v>
      </c>
      <c r="T240" s="20">
        <f>COUNTIF($K$600:$K$628, "=TRUE")/COUNTA($K$600:$K$628)</f>
        <v>0.96551724137931039</v>
      </c>
    </row>
    <row r="241" spans="1:22">
      <c r="A241" s="2">
        <v>4</v>
      </c>
      <c r="B241" s="2">
        <v>1</v>
      </c>
      <c r="C241" s="2">
        <v>1</v>
      </c>
      <c r="D241" s="2">
        <v>1</v>
      </c>
      <c r="E241" s="2">
        <v>2</v>
      </c>
      <c r="F241" s="2">
        <v>1</v>
      </c>
      <c r="G241" s="2">
        <v>2</v>
      </c>
      <c r="H241" s="2">
        <v>1</v>
      </c>
      <c r="I241" s="2">
        <v>1</v>
      </c>
      <c r="J241" s="2">
        <v>2</v>
      </c>
      <c r="K241" s="2" t="b">
        <f t="shared" si="20"/>
        <v>0</v>
      </c>
      <c r="M241" t="s">
        <v>18</v>
      </c>
      <c r="N241" s="16">
        <f>infoGain(A$600:A$628,$K$600:$K$628)</f>
        <v>0.12140081168700698</v>
      </c>
      <c r="O241" s="14">
        <f t="shared" ref="O241:T241" si="23">infoGain(B$600:B$628,$K$600:$K$628)</f>
        <v>-1.6653345369377348E-16</v>
      </c>
      <c r="P241" s="14">
        <f t="shared" si="23"/>
        <v>4.9691178791380131E-2</v>
      </c>
      <c r="Q241" s="14">
        <f t="shared" si="23"/>
        <v>0.12140081168700698</v>
      </c>
      <c r="R241" s="14">
        <f t="shared" si="23"/>
        <v>7.3579365207254444E-2</v>
      </c>
      <c r="S241" s="14">
        <f t="shared" si="23"/>
        <v>0.12140081168700698</v>
      </c>
      <c r="T241" s="14">
        <f t="shared" si="23"/>
        <v>0.10449650149138412</v>
      </c>
      <c r="U241" s="14">
        <f>infoGain(H$600:H$628,$K$600:$K$628)</f>
        <v>0.12140081168700698</v>
      </c>
      <c r="V241" s="14">
        <f>infoGain(I$600:I$628,$K$600:$K$628)</f>
        <v>2.7194577235548273E-2</v>
      </c>
    </row>
    <row r="242" spans="1:22">
      <c r="A242" s="2">
        <v>2</v>
      </c>
      <c r="B242" s="2">
        <v>1</v>
      </c>
      <c r="C242" s="2">
        <v>3</v>
      </c>
      <c r="D242" s="2">
        <v>2</v>
      </c>
      <c r="E242" s="2">
        <v>2</v>
      </c>
      <c r="F242" s="2">
        <v>1</v>
      </c>
      <c r="G242" s="2">
        <v>2</v>
      </c>
      <c r="H242" s="2">
        <v>1</v>
      </c>
      <c r="I242" s="2">
        <v>1</v>
      </c>
      <c r="J242" s="2">
        <v>2</v>
      </c>
      <c r="K242" s="2" t="b">
        <f t="shared" si="20"/>
        <v>0</v>
      </c>
      <c r="M242" s="18" t="s">
        <v>35</v>
      </c>
      <c r="N242" s="18" t="str">
        <f>INDEX($N$2:$V$2,MATCH(MAX($N241:$V241),$N241:$V241,0))</f>
        <v>clump_thickness</v>
      </c>
    </row>
    <row r="243" spans="1:22">
      <c r="A243" s="2">
        <v>5</v>
      </c>
      <c r="B243" s="2">
        <v>1</v>
      </c>
      <c r="C243" s="2">
        <v>1</v>
      </c>
      <c r="D243" s="2">
        <v>1</v>
      </c>
      <c r="E243" s="2">
        <v>2</v>
      </c>
      <c r="F243" s="2">
        <v>1</v>
      </c>
      <c r="G243" s="2">
        <v>2</v>
      </c>
      <c r="H243" s="2">
        <v>1</v>
      </c>
      <c r="I243" s="2">
        <v>1</v>
      </c>
      <c r="J243" s="2">
        <v>2</v>
      </c>
      <c r="K243" s="2" t="b">
        <f t="shared" si="20"/>
        <v>0</v>
      </c>
      <c r="M243" s="11" t="s">
        <v>79</v>
      </c>
      <c r="N243" s="18"/>
      <c r="S243" s="17" t="s">
        <v>25</v>
      </c>
      <c r="T243" s="19">
        <f>COUNTIF($K$600:$K$603, "=TRUE")/COUNTA($K$600:$K$603)</f>
        <v>1</v>
      </c>
    </row>
    <row r="244" spans="1:22">
      <c r="A244" s="2">
        <v>2</v>
      </c>
      <c r="B244" s="2">
        <v>1</v>
      </c>
      <c r="C244" s="2">
        <v>1</v>
      </c>
      <c r="D244" s="2">
        <v>1</v>
      </c>
      <c r="E244" s="2">
        <v>1</v>
      </c>
      <c r="F244" s="2">
        <v>1</v>
      </c>
      <c r="G244" s="2">
        <v>1</v>
      </c>
      <c r="H244" s="2">
        <v>1</v>
      </c>
      <c r="I244" s="2">
        <v>1</v>
      </c>
      <c r="J244" s="2">
        <v>2</v>
      </c>
      <c r="K244" s="2" t="b">
        <f t="shared" si="20"/>
        <v>0</v>
      </c>
      <c r="M244" s="18"/>
      <c r="N244" s="18" t="s">
        <v>26</v>
      </c>
    </row>
    <row r="245" spans="1:22">
      <c r="A245" s="2">
        <v>3</v>
      </c>
      <c r="B245" s="2">
        <v>1</v>
      </c>
      <c r="C245" s="2">
        <v>1</v>
      </c>
      <c r="D245" s="2">
        <v>1</v>
      </c>
      <c r="E245" s="2">
        <v>1</v>
      </c>
      <c r="F245" s="2">
        <v>1</v>
      </c>
      <c r="G245" s="2">
        <v>1</v>
      </c>
      <c r="H245" s="2">
        <v>1</v>
      </c>
      <c r="I245" s="2">
        <v>1</v>
      </c>
      <c r="J245" s="2">
        <v>2</v>
      </c>
      <c r="K245" s="2" t="b">
        <f t="shared" si="20"/>
        <v>0</v>
      </c>
      <c r="M245" s="11" t="s">
        <v>80</v>
      </c>
      <c r="N245" s="18"/>
      <c r="S245" s="17" t="s">
        <v>25</v>
      </c>
      <c r="T245" s="19">
        <f>COUNTIF($K$604:$K$608, "=TRUE")/COUNTA($K$604:$K$608)</f>
        <v>1</v>
      </c>
    </row>
    <row r="246" spans="1:22">
      <c r="A246" s="2">
        <v>3</v>
      </c>
      <c r="B246" s="2">
        <v>1</v>
      </c>
      <c r="C246" s="2">
        <v>1</v>
      </c>
      <c r="D246" s="2">
        <v>1</v>
      </c>
      <c r="E246" s="2">
        <v>2</v>
      </c>
      <c r="F246" s="2">
        <v>1</v>
      </c>
      <c r="G246" s="2">
        <v>2</v>
      </c>
      <c r="H246" s="2">
        <v>1</v>
      </c>
      <c r="I246" s="2">
        <v>1</v>
      </c>
      <c r="J246" s="2">
        <v>2</v>
      </c>
      <c r="K246" s="2" t="b">
        <f t="shared" si="20"/>
        <v>0</v>
      </c>
      <c r="M246" s="18"/>
      <c r="N246" s="18" t="s">
        <v>26</v>
      </c>
    </row>
    <row r="247" spans="1:22">
      <c r="A247" s="2">
        <v>1</v>
      </c>
      <c r="B247" s="2">
        <v>1</v>
      </c>
      <c r="C247" s="2">
        <v>1</v>
      </c>
      <c r="D247" s="2">
        <v>1</v>
      </c>
      <c r="E247" s="2">
        <v>2</v>
      </c>
      <c r="F247" s="2">
        <v>1</v>
      </c>
      <c r="G247" s="2">
        <v>3</v>
      </c>
      <c r="H247" s="2">
        <v>1</v>
      </c>
      <c r="I247" s="2">
        <v>1</v>
      </c>
      <c r="J247" s="2">
        <v>2</v>
      </c>
      <c r="K247" s="2" t="b">
        <f t="shared" si="20"/>
        <v>0</v>
      </c>
      <c r="M247" s="11" t="s">
        <v>100</v>
      </c>
      <c r="N247" s="18"/>
      <c r="S247" s="17" t="s">
        <v>25</v>
      </c>
      <c r="T247" s="20">
        <f>COUNTIF($K$609:$K$611, "=TRUE")/COUNTA($K$609:$K$611)</f>
        <v>0.66666666666666663</v>
      </c>
    </row>
    <row r="248" spans="1:22">
      <c r="A248" s="2">
        <v>3</v>
      </c>
      <c r="B248" s="2">
        <v>1</v>
      </c>
      <c r="C248" s="2">
        <v>1</v>
      </c>
      <c r="D248" s="2">
        <v>1</v>
      </c>
      <c r="E248" s="2">
        <v>2</v>
      </c>
      <c r="F248" s="2">
        <v>1</v>
      </c>
      <c r="G248" s="2">
        <v>1</v>
      </c>
      <c r="H248" s="2">
        <v>1</v>
      </c>
      <c r="I248" s="2">
        <v>1</v>
      </c>
      <c r="J248" s="2">
        <v>2</v>
      </c>
      <c r="K248" s="2" t="b">
        <f t="shared" si="20"/>
        <v>0</v>
      </c>
      <c r="M248" s="26" t="s">
        <v>18</v>
      </c>
      <c r="N248" s="21">
        <f>infoGain(A$609:A$611,$K$609:$K$611)</f>
        <v>0</v>
      </c>
      <c r="O248" s="21">
        <f t="shared" ref="O248:V248" si="24">infoGain(B$609:B$611,$K$609:$K$611)</f>
        <v>0</v>
      </c>
      <c r="P248" s="16">
        <f t="shared" si="24"/>
        <v>0.91829583405448956</v>
      </c>
      <c r="Q248" s="21">
        <f t="shared" si="24"/>
        <v>0.91829583405448956</v>
      </c>
      <c r="R248" s="21">
        <f t="shared" si="24"/>
        <v>0.91829583405448956</v>
      </c>
      <c r="S248" s="21">
        <f t="shared" si="24"/>
        <v>0.91829583405448956</v>
      </c>
      <c r="T248" s="21">
        <f t="shared" si="24"/>
        <v>0.91829583405448956</v>
      </c>
      <c r="U248" s="21">
        <f t="shared" si="24"/>
        <v>0.91829583405448956</v>
      </c>
      <c r="V248" s="21">
        <f t="shared" si="24"/>
        <v>0.25162916738782293</v>
      </c>
    </row>
    <row r="249" spans="1:22">
      <c r="A249" s="2">
        <v>5</v>
      </c>
      <c r="B249" s="2">
        <v>1</v>
      </c>
      <c r="C249" s="2">
        <v>1</v>
      </c>
      <c r="D249" s="2">
        <v>3</v>
      </c>
      <c r="E249" s="2">
        <v>2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 t="b">
        <f t="shared" si="20"/>
        <v>0</v>
      </c>
      <c r="M249" s="18" t="s">
        <v>35</v>
      </c>
      <c r="N249" s="18" t="str">
        <f>INDEX($N$2:$V$2,MATCH(MAX($N248:$V248),$N248:$V248,0))</f>
        <v xml:space="preserve"> uniformity_of_cell_shape</v>
      </c>
      <c r="S249" s="17"/>
      <c r="T249" s="20"/>
    </row>
    <row r="250" spans="1:22">
      <c r="A250" s="2">
        <v>2</v>
      </c>
      <c r="B250" s="2">
        <v>1</v>
      </c>
      <c r="C250" s="2">
        <v>1</v>
      </c>
      <c r="D250" s="2">
        <v>1</v>
      </c>
      <c r="E250" s="2">
        <v>2</v>
      </c>
      <c r="F250" s="2">
        <v>1</v>
      </c>
      <c r="G250" s="2">
        <v>2</v>
      </c>
      <c r="H250" s="2">
        <v>1</v>
      </c>
      <c r="I250" s="2">
        <v>1</v>
      </c>
      <c r="J250" s="2">
        <v>2</v>
      </c>
      <c r="K250" s="2" t="b">
        <f t="shared" si="20"/>
        <v>0</v>
      </c>
      <c r="M250" s="11" t="s">
        <v>101</v>
      </c>
      <c r="N250" s="18"/>
      <c r="S250" s="17" t="s">
        <v>25</v>
      </c>
      <c r="T250" s="19">
        <f>COUNTIF($K$609:$K$610, "=TRUE")/COUNTA($K$609:$K$610)</f>
        <v>1</v>
      </c>
    </row>
    <row r="251" spans="1:22">
      <c r="A251" s="2">
        <v>5</v>
      </c>
      <c r="B251" s="2">
        <v>1</v>
      </c>
      <c r="C251" s="2">
        <v>1</v>
      </c>
      <c r="D251" s="2">
        <v>1</v>
      </c>
      <c r="E251" s="2">
        <v>2</v>
      </c>
      <c r="F251" s="2">
        <v>1</v>
      </c>
      <c r="G251" s="2">
        <v>2</v>
      </c>
      <c r="H251" s="2">
        <v>1</v>
      </c>
      <c r="I251" s="2">
        <v>1</v>
      </c>
      <c r="J251" s="2">
        <v>2</v>
      </c>
      <c r="K251" s="2" t="b">
        <f t="shared" si="20"/>
        <v>0</v>
      </c>
      <c r="M251" s="11"/>
      <c r="N251" s="18" t="s">
        <v>26</v>
      </c>
      <c r="S251" s="17"/>
      <c r="T251" s="20"/>
    </row>
    <row r="252" spans="1:22">
      <c r="A252" s="2">
        <v>5</v>
      </c>
      <c r="B252" s="2">
        <v>1</v>
      </c>
      <c r="C252" s="2">
        <v>1</v>
      </c>
      <c r="D252" s="2">
        <v>1</v>
      </c>
      <c r="E252" s="2">
        <v>2</v>
      </c>
      <c r="F252" s="2">
        <v>1</v>
      </c>
      <c r="G252" s="2">
        <v>3</v>
      </c>
      <c r="H252" s="2">
        <v>1</v>
      </c>
      <c r="I252" s="2">
        <v>1</v>
      </c>
      <c r="J252" s="2">
        <v>2</v>
      </c>
      <c r="K252" s="2" t="b">
        <f t="shared" si="20"/>
        <v>0</v>
      </c>
      <c r="M252" s="11" t="s">
        <v>102</v>
      </c>
      <c r="N252" s="18"/>
      <c r="S252" s="17" t="s">
        <v>25</v>
      </c>
      <c r="T252" s="19">
        <f>COUNTIF($K$611:$K$611, "=TRUE")/COUNTA($K$611:$K$611)</f>
        <v>0</v>
      </c>
    </row>
    <row r="253" spans="1:22">
      <c r="A253" s="2">
        <v>5</v>
      </c>
      <c r="B253" s="2">
        <v>1</v>
      </c>
      <c r="C253" s="2">
        <v>1</v>
      </c>
      <c r="D253" s="2">
        <v>1</v>
      </c>
      <c r="E253" s="2">
        <v>2</v>
      </c>
      <c r="F253" s="2">
        <v>1</v>
      </c>
      <c r="G253" s="2">
        <v>3</v>
      </c>
      <c r="H253" s="2">
        <v>1</v>
      </c>
      <c r="I253" s="2">
        <v>1</v>
      </c>
      <c r="J253" s="2">
        <v>2</v>
      </c>
      <c r="K253" s="2" t="b">
        <f t="shared" si="20"/>
        <v>0</v>
      </c>
      <c r="M253" s="18"/>
      <c r="N253" s="18" t="s">
        <v>39</v>
      </c>
    </row>
    <row r="254" spans="1:22">
      <c r="A254" s="2">
        <v>1</v>
      </c>
      <c r="B254" s="2">
        <v>1</v>
      </c>
      <c r="C254" s="2">
        <v>1</v>
      </c>
      <c r="D254" s="2">
        <v>1</v>
      </c>
      <c r="E254" s="2">
        <v>2</v>
      </c>
      <c r="F254" s="2">
        <v>1</v>
      </c>
      <c r="G254" s="2">
        <v>3</v>
      </c>
      <c r="H254" s="2">
        <v>1</v>
      </c>
      <c r="I254" s="2">
        <v>1</v>
      </c>
      <c r="J254" s="2">
        <v>2</v>
      </c>
      <c r="K254" s="2" t="b">
        <f t="shared" si="20"/>
        <v>0</v>
      </c>
      <c r="M254" s="11" t="s">
        <v>81</v>
      </c>
      <c r="N254" s="18"/>
      <c r="S254" s="17" t="s">
        <v>25</v>
      </c>
      <c r="T254" s="19">
        <f>COUNTIF($K$612:$K$615, "=TRUE")/COUNTA($K$612:$K$615)</f>
        <v>1</v>
      </c>
    </row>
    <row r="255" spans="1:22">
      <c r="A255" s="2">
        <v>3</v>
      </c>
      <c r="B255" s="2">
        <v>1</v>
      </c>
      <c r="C255" s="2">
        <v>1</v>
      </c>
      <c r="D255" s="2">
        <v>1</v>
      </c>
      <c r="E255" s="2">
        <v>2</v>
      </c>
      <c r="F255" s="2">
        <v>1</v>
      </c>
      <c r="G255" s="2">
        <v>2</v>
      </c>
      <c r="H255" s="2">
        <v>1</v>
      </c>
      <c r="I255" s="2">
        <v>1</v>
      </c>
      <c r="J255" s="2">
        <v>2</v>
      </c>
      <c r="K255" s="2" t="b">
        <f t="shared" si="20"/>
        <v>0</v>
      </c>
      <c r="M255" s="18"/>
      <c r="N255" s="18" t="s">
        <v>26</v>
      </c>
    </row>
    <row r="256" spans="1:22">
      <c r="A256" s="2">
        <v>4</v>
      </c>
      <c r="B256" s="2">
        <v>1</v>
      </c>
      <c r="C256" s="2">
        <v>1</v>
      </c>
      <c r="D256" s="2">
        <v>1</v>
      </c>
      <c r="E256" s="2">
        <v>2</v>
      </c>
      <c r="F256" s="2">
        <v>1</v>
      </c>
      <c r="G256" s="2">
        <v>3</v>
      </c>
      <c r="H256" s="2">
        <v>2</v>
      </c>
      <c r="I256" s="2">
        <v>1</v>
      </c>
      <c r="J256" s="2">
        <v>2</v>
      </c>
      <c r="K256" s="2" t="b">
        <f t="shared" si="20"/>
        <v>0</v>
      </c>
      <c r="M256" s="11" t="s">
        <v>82</v>
      </c>
      <c r="N256" s="18"/>
      <c r="S256" s="17" t="s">
        <v>25</v>
      </c>
      <c r="T256" s="19">
        <f>COUNTIF($K$616:$K$619, "=TRUE")/COUNTA($K$616:$K$619)</f>
        <v>1</v>
      </c>
    </row>
    <row r="257" spans="1:22">
      <c r="A257" s="2">
        <v>3</v>
      </c>
      <c r="B257" s="2">
        <v>1</v>
      </c>
      <c r="C257" s="2">
        <v>2</v>
      </c>
      <c r="D257" s="2">
        <v>1</v>
      </c>
      <c r="E257" s="2">
        <v>2</v>
      </c>
      <c r="F257" s="2">
        <v>1</v>
      </c>
      <c r="G257" s="2">
        <v>3</v>
      </c>
      <c r="H257" s="2">
        <v>1</v>
      </c>
      <c r="I257" s="2">
        <v>1</v>
      </c>
      <c r="J257" s="2">
        <v>2</v>
      </c>
      <c r="K257" s="2" t="b">
        <f t="shared" si="20"/>
        <v>0</v>
      </c>
      <c r="M257" s="18"/>
      <c r="N257" s="18" t="s">
        <v>26</v>
      </c>
    </row>
    <row r="258" spans="1:22">
      <c r="A258" s="2">
        <v>3</v>
      </c>
      <c r="B258" s="2">
        <v>1</v>
      </c>
      <c r="C258" s="2">
        <v>1</v>
      </c>
      <c r="D258" s="2">
        <v>1</v>
      </c>
      <c r="E258" s="2">
        <v>2</v>
      </c>
      <c r="F258" s="2">
        <v>1</v>
      </c>
      <c r="G258" s="2">
        <v>2</v>
      </c>
      <c r="H258" s="2">
        <v>1</v>
      </c>
      <c r="I258" s="2">
        <v>1</v>
      </c>
      <c r="J258" s="2">
        <v>2</v>
      </c>
      <c r="K258" s="2" t="b">
        <f t="shared" si="20"/>
        <v>0</v>
      </c>
      <c r="M258" s="11" t="s">
        <v>83</v>
      </c>
      <c r="N258" s="18"/>
      <c r="S258" s="17" t="s">
        <v>25</v>
      </c>
      <c r="T258" s="19">
        <f>COUNTIF($K$620:$K$621, "=TRUE")/COUNTA($K$620:$K$621)</f>
        <v>1</v>
      </c>
    </row>
    <row r="259" spans="1:22">
      <c r="A259" s="2">
        <v>1</v>
      </c>
      <c r="B259" s="2">
        <v>1</v>
      </c>
      <c r="C259" s="2">
        <v>1</v>
      </c>
      <c r="D259" s="2">
        <v>1</v>
      </c>
      <c r="E259" s="2">
        <v>2</v>
      </c>
      <c r="F259" s="2">
        <v>1</v>
      </c>
      <c r="G259" s="2">
        <v>2</v>
      </c>
      <c r="H259" s="2">
        <v>1</v>
      </c>
      <c r="I259" s="2">
        <v>1</v>
      </c>
      <c r="J259" s="2">
        <v>2</v>
      </c>
      <c r="K259" s="2" t="b">
        <f t="shared" ref="K259:K322" si="25">IF(J259=4, TRUE, FALSE)</f>
        <v>0</v>
      </c>
      <c r="M259" s="18"/>
      <c r="N259" s="18" t="s">
        <v>26</v>
      </c>
    </row>
    <row r="260" spans="1:22">
      <c r="A260" s="2">
        <v>5</v>
      </c>
      <c r="B260" s="2">
        <v>1</v>
      </c>
      <c r="C260" s="2">
        <v>2</v>
      </c>
      <c r="D260" s="2">
        <v>1</v>
      </c>
      <c r="E260" s="2">
        <v>2</v>
      </c>
      <c r="F260" s="2">
        <v>1</v>
      </c>
      <c r="G260" s="2">
        <v>3</v>
      </c>
      <c r="H260" s="2">
        <v>1</v>
      </c>
      <c r="I260" s="2">
        <v>1</v>
      </c>
      <c r="J260" s="2">
        <v>2</v>
      </c>
      <c r="K260" s="2" t="b">
        <f t="shared" si="25"/>
        <v>0</v>
      </c>
      <c r="M260" s="11" t="s">
        <v>84</v>
      </c>
      <c r="N260" s="18"/>
      <c r="S260" s="17" t="s">
        <v>25</v>
      </c>
      <c r="T260" s="19">
        <f>COUNTIF($K$622:$K$628, "=TRUE")/COUNTA($K$622:$K$628)</f>
        <v>1</v>
      </c>
    </row>
    <row r="261" spans="1:22">
      <c r="A261" s="2">
        <v>5</v>
      </c>
      <c r="B261" s="2">
        <v>1</v>
      </c>
      <c r="C261" s="2">
        <v>1</v>
      </c>
      <c r="D261" s="2">
        <v>1</v>
      </c>
      <c r="E261" s="2">
        <v>2</v>
      </c>
      <c r="F261" s="2">
        <v>1</v>
      </c>
      <c r="G261" s="2">
        <v>2</v>
      </c>
      <c r="H261" s="2">
        <v>1</v>
      </c>
      <c r="I261" s="2">
        <v>1</v>
      </c>
      <c r="J261" s="2">
        <v>2</v>
      </c>
      <c r="K261" s="2" t="b">
        <f t="shared" si="25"/>
        <v>0</v>
      </c>
      <c r="M261" s="18"/>
      <c r="N261" s="18" t="s">
        <v>26</v>
      </c>
    </row>
    <row r="262" spans="1:22">
      <c r="A262" s="2">
        <v>1</v>
      </c>
      <c r="B262" s="2">
        <v>1</v>
      </c>
      <c r="C262" s="2">
        <v>1</v>
      </c>
      <c r="D262" s="2">
        <v>1</v>
      </c>
      <c r="E262" s="2">
        <v>2</v>
      </c>
      <c r="F262" s="2">
        <v>1</v>
      </c>
      <c r="G262" s="2">
        <v>2</v>
      </c>
      <c r="H262" s="2">
        <v>1</v>
      </c>
      <c r="I262" s="2">
        <v>1</v>
      </c>
      <c r="J262" s="2">
        <v>2</v>
      </c>
      <c r="K262" s="2" t="b">
        <f t="shared" si="25"/>
        <v>0</v>
      </c>
    </row>
    <row r="263" spans="1:22">
      <c r="A263" s="2">
        <v>1</v>
      </c>
      <c r="B263" s="2">
        <v>1</v>
      </c>
      <c r="C263" s="2">
        <v>1</v>
      </c>
      <c r="D263" s="2">
        <v>1</v>
      </c>
      <c r="E263" s="2">
        <v>2</v>
      </c>
      <c r="F263" s="2">
        <v>1</v>
      </c>
      <c r="G263" s="2">
        <v>2</v>
      </c>
      <c r="H263" s="2">
        <v>1</v>
      </c>
      <c r="I263" s="2">
        <v>1</v>
      </c>
      <c r="J263" s="2">
        <v>2</v>
      </c>
      <c r="K263" s="2" t="b">
        <f t="shared" si="25"/>
        <v>0</v>
      </c>
      <c r="M263" s="11" t="s">
        <v>36</v>
      </c>
      <c r="S263" s="17" t="s">
        <v>25</v>
      </c>
      <c r="T263" s="20">
        <f>COUNTIF($K$629:$K$634, "=TRUE")/COUNTA($K$629:$K$634)</f>
        <v>0.83333333333333337</v>
      </c>
    </row>
    <row r="264" spans="1:22">
      <c r="A264" s="2">
        <v>1</v>
      </c>
      <c r="B264" s="2">
        <v>1</v>
      </c>
      <c r="C264" s="2">
        <v>1</v>
      </c>
      <c r="D264" s="2">
        <v>1</v>
      </c>
      <c r="E264" s="2">
        <v>2</v>
      </c>
      <c r="F264" s="2">
        <v>1</v>
      </c>
      <c r="G264" s="2">
        <v>3</v>
      </c>
      <c r="H264" s="2">
        <v>1</v>
      </c>
      <c r="I264" s="2">
        <v>1</v>
      </c>
      <c r="J264" s="2">
        <v>2</v>
      </c>
      <c r="K264" s="2" t="b">
        <f t="shared" si="25"/>
        <v>0</v>
      </c>
      <c r="M264" t="s">
        <v>18</v>
      </c>
      <c r="N264" s="16">
        <f>infoGain(A$629:A$634,$K$629:$K$634)</f>
        <v>0.65002242164835411</v>
      </c>
      <c r="O264" s="21">
        <f t="shared" ref="O264:T264" si="26">infoGain(B$629:B$634,$K$629:$K$634)</f>
        <v>0</v>
      </c>
      <c r="P264" s="21">
        <f t="shared" si="26"/>
        <v>0.31668908831502079</v>
      </c>
      <c r="Q264" s="21">
        <f t="shared" si="26"/>
        <v>0.31668908831502079</v>
      </c>
      <c r="R264" s="21">
        <f t="shared" si="26"/>
        <v>0.65002242164835411</v>
      </c>
      <c r="S264" s="21">
        <f t="shared" si="26"/>
        <v>0.65002242164835411</v>
      </c>
      <c r="T264" s="21">
        <f t="shared" si="26"/>
        <v>0.65002242164835411</v>
      </c>
      <c r="U264" s="21">
        <f>infoGain(H$629:H$634,$K$629:$K$634)</f>
        <v>0.65002242164835411</v>
      </c>
      <c r="V264" s="21">
        <f>infoGain(I$629:I$634,$K$629:$K$634)</f>
        <v>0.19087450462110933</v>
      </c>
    </row>
    <row r="265" spans="1:22">
      <c r="A265" s="2">
        <v>5</v>
      </c>
      <c r="B265" s="2">
        <v>1</v>
      </c>
      <c r="C265" s="2">
        <v>2</v>
      </c>
      <c r="D265" s="2">
        <v>1</v>
      </c>
      <c r="E265" s="2">
        <v>2</v>
      </c>
      <c r="F265" s="2">
        <v>1</v>
      </c>
      <c r="G265" s="2">
        <v>2</v>
      </c>
      <c r="H265" s="2">
        <v>1</v>
      </c>
      <c r="I265" s="2">
        <v>1</v>
      </c>
      <c r="J265" s="2">
        <v>2</v>
      </c>
      <c r="K265" s="2" t="b">
        <f t="shared" si="25"/>
        <v>0</v>
      </c>
      <c r="M265" s="18" t="s">
        <v>35</v>
      </c>
      <c r="N265" s="18" t="str">
        <f>INDEX($N$2:$V$2,MATCH(MAX($N264:$V264),$N264:$V264,0))</f>
        <v>clump_thickness</v>
      </c>
    </row>
    <row r="266" spans="1:22">
      <c r="A266" s="2">
        <v>3</v>
      </c>
      <c r="B266" s="2">
        <v>1</v>
      </c>
      <c r="C266" s="2">
        <v>1</v>
      </c>
      <c r="D266" s="2">
        <v>1</v>
      </c>
      <c r="E266" s="2">
        <v>2</v>
      </c>
      <c r="F266" s="2">
        <v>1</v>
      </c>
      <c r="G266" s="2">
        <v>1</v>
      </c>
      <c r="H266" s="2">
        <v>1</v>
      </c>
      <c r="I266" s="2">
        <v>1</v>
      </c>
      <c r="J266" s="2">
        <v>2</v>
      </c>
      <c r="K266" s="2" t="b">
        <f t="shared" si="25"/>
        <v>0</v>
      </c>
      <c r="M266" s="11" t="s">
        <v>100</v>
      </c>
      <c r="N266" s="18"/>
      <c r="S266" s="17" t="s">
        <v>25</v>
      </c>
      <c r="T266" s="19">
        <f>COUNTIF($K$629:$K$629, "=TRUE")/COUNTA($K$629:$K$629)</f>
        <v>0</v>
      </c>
    </row>
    <row r="267" spans="1:22">
      <c r="A267" s="2">
        <v>5</v>
      </c>
      <c r="B267" s="2">
        <v>1</v>
      </c>
      <c r="C267" s="2">
        <v>1</v>
      </c>
      <c r="D267" s="2">
        <v>6</v>
      </c>
      <c r="E267" s="2">
        <v>3</v>
      </c>
      <c r="F267" s="2">
        <v>1</v>
      </c>
      <c r="G267" s="2">
        <v>1</v>
      </c>
      <c r="H267" s="2">
        <v>1</v>
      </c>
      <c r="I267" s="2">
        <v>1</v>
      </c>
      <c r="J267" s="2">
        <v>2</v>
      </c>
      <c r="K267" s="2" t="b">
        <f t="shared" si="25"/>
        <v>0</v>
      </c>
      <c r="M267" s="18"/>
      <c r="N267" s="18" t="s">
        <v>39</v>
      </c>
    </row>
    <row r="268" spans="1:22">
      <c r="A268" s="2">
        <v>1</v>
      </c>
      <c r="B268" s="2">
        <v>1</v>
      </c>
      <c r="C268" s="2">
        <v>1</v>
      </c>
      <c r="D268" s="2">
        <v>1</v>
      </c>
      <c r="E268" s="2">
        <v>2</v>
      </c>
      <c r="F268" s="2">
        <v>1</v>
      </c>
      <c r="G268" s="2">
        <v>1</v>
      </c>
      <c r="H268" s="2">
        <v>1</v>
      </c>
      <c r="I268" s="2">
        <v>1</v>
      </c>
      <c r="J268" s="2">
        <v>2</v>
      </c>
      <c r="K268" s="2" t="b">
        <f t="shared" si="25"/>
        <v>0</v>
      </c>
      <c r="M268" s="11" t="s">
        <v>81</v>
      </c>
      <c r="N268" s="18"/>
      <c r="S268" s="17" t="s">
        <v>25</v>
      </c>
      <c r="T268" s="19">
        <f>COUNTIF($K$630:$K$630, "=TRUE")/COUNTA($K$630:$K$630)</f>
        <v>1</v>
      </c>
    </row>
    <row r="269" spans="1:22">
      <c r="A269" s="2">
        <v>5</v>
      </c>
      <c r="B269" s="2">
        <v>1</v>
      </c>
      <c r="C269" s="2">
        <v>1</v>
      </c>
      <c r="D269" s="2">
        <v>1</v>
      </c>
      <c r="E269" s="2">
        <v>2</v>
      </c>
      <c r="F269" s="2">
        <v>1</v>
      </c>
      <c r="G269" s="2">
        <v>2</v>
      </c>
      <c r="H269" s="2">
        <v>2</v>
      </c>
      <c r="I269" s="2">
        <v>1</v>
      </c>
      <c r="J269" s="2">
        <v>2</v>
      </c>
      <c r="K269" s="2" t="b">
        <f t="shared" si="25"/>
        <v>0</v>
      </c>
      <c r="M269" s="18"/>
      <c r="N269" s="18" t="s">
        <v>26</v>
      </c>
    </row>
    <row r="270" spans="1:22">
      <c r="A270" s="2">
        <v>5</v>
      </c>
      <c r="B270" s="2">
        <v>1</v>
      </c>
      <c r="C270" s="2">
        <v>1</v>
      </c>
      <c r="D270" s="2">
        <v>1</v>
      </c>
      <c r="E270" s="2">
        <v>2</v>
      </c>
      <c r="F270" s="2">
        <v>1</v>
      </c>
      <c r="G270" s="2">
        <v>1</v>
      </c>
      <c r="H270" s="2">
        <v>1</v>
      </c>
      <c r="I270" s="2">
        <v>1</v>
      </c>
      <c r="J270" s="2">
        <v>2</v>
      </c>
      <c r="K270" s="2" t="b">
        <f t="shared" si="25"/>
        <v>0</v>
      </c>
      <c r="M270" s="11" t="s">
        <v>82</v>
      </c>
      <c r="N270" s="18"/>
      <c r="S270" s="17" t="s">
        <v>25</v>
      </c>
      <c r="T270" s="19">
        <f>COUNTIF($K$631:$K$631, "=TRUE")/COUNTA($K$631:$K$631)</f>
        <v>1</v>
      </c>
    </row>
    <row r="271" spans="1:22">
      <c r="A271" s="2">
        <v>5</v>
      </c>
      <c r="B271" s="2">
        <v>1</v>
      </c>
      <c r="C271" s="2">
        <v>2</v>
      </c>
      <c r="D271" s="2">
        <v>1</v>
      </c>
      <c r="E271" s="2">
        <v>2</v>
      </c>
      <c r="F271" s="2">
        <v>1</v>
      </c>
      <c r="G271" s="2">
        <v>1</v>
      </c>
      <c r="H271" s="2">
        <v>1</v>
      </c>
      <c r="I271" s="2">
        <v>1</v>
      </c>
      <c r="J271" s="2">
        <v>2</v>
      </c>
      <c r="K271" s="2" t="b">
        <f t="shared" si="25"/>
        <v>0</v>
      </c>
      <c r="M271" s="18"/>
      <c r="N271" s="18" t="s">
        <v>26</v>
      </c>
    </row>
    <row r="272" spans="1:22">
      <c r="A272" s="2">
        <v>5</v>
      </c>
      <c r="B272" s="2">
        <v>1</v>
      </c>
      <c r="C272" s="2">
        <v>1</v>
      </c>
      <c r="D272" s="2">
        <v>1</v>
      </c>
      <c r="E272" s="2">
        <v>2</v>
      </c>
      <c r="F272" s="2">
        <v>1</v>
      </c>
      <c r="G272" s="2">
        <v>2</v>
      </c>
      <c r="H272" s="2">
        <v>1</v>
      </c>
      <c r="I272" s="2">
        <v>1</v>
      </c>
      <c r="J272" s="2">
        <v>2</v>
      </c>
      <c r="K272" s="2" t="b">
        <f t="shared" si="25"/>
        <v>0</v>
      </c>
      <c r="M272" s="11" t="s">
        <v>83</v>
      </c>
      <c r="N272" s="18"/>
      <c r="S272" s="17" t="s">
        <v>25</v>
      </c>
      <c r="T272" s="19">
        <f>COUNTIF($K$632:$K$632, "=TRUE")/COUNTA($K$632:$K$632)</f>
        <v>1</v>
      </c>
    </row>
    <row r="273" spans="1:20">
      <c r="A273" s="2">
        <v>4</v>
      </c>
      <c r="B273" s="2">
        <v>1</v>
      </c>
      <c r="C273" s="2">
        <v>2</v>
      </c>
      <c r="D273" s="2">
        <v>1</v>
      </c>
      <c r="E273" s="2">
        <v>2</v>
      </c>
      <c r="F273" s="2">
        <v>1</v>
      </c>
      <c r="G273" s="2">
        <v>2</v>
      </c>
      <c r="H273" s="2">
        <v>1</v>
      </c>
      <c r="I273" s="2">
        <v>1</v>
      </c>
      <c r="J273" s="2">
        <v>2</v>
      </c>
      <c r="K273" s="2" t="b">
        <f t="shared" si="25"/>
        <v>0</v>
      </c>
      <c r="M273" s="18"/>
      <c r="N273" s="18" t="s">
        <v>26</v>
      </c>
    </row>
    <row r="274" spans="1:20">
      <c r="A274" s="2">
        <v>5</v>
      </c>
      <c r="B274" s="2">
        <v>1</v>
      </c>
      <c r="C274" s="2">
        <v>3</v>
      </c>
      <c r="D274" s="2">
        <v>1</v>
      </c>
      <c r="E274" s="2">
        <v>2</v>
      </c>
      <c r="F274" s="2">
        <v>1</v>
      </c>
      <c r="G274" s="2">
        <v>3</v>
      </c>
      <c r="H274" s="2">
        <v>1</v>
      </c>
      <c r="I274" s="2">
        <v>1</v>
      </c>
      <c r="J274" s="2">
        <v>2</v>
      </c>
      <c r="K274" s="2" t="b">
        <f t="shared" si="25"/>
        <v>0</v>
      </c>
      <c r="M274" s="11" t="s">
        <v>84</v>
      </c>
      <c r="N274" s="18"/>
      <c r="S274" s="17" t="s">
        <v>25</v>
      </c>
      <c r="T274" s="19">
        <f>COUNTIF($K$633:$K$634, "=TRUE")/COUNTA($K$633:$K$634)</f>
        <v>1</v>
      </c>
    </row>
    <row r="275" spans="1:20">
      <c r="A275" s="2">
        <v>3</v>
      </c>
      <c r="B275" s="2">
        <v>1</v>
      </c>
      <c r="C275" s="2">
        <v>1</v>
      </c>
      <c r="D275" s="2">
        <v>1</v>
      </c>
      <c r="E275" s="2">
        <v>2</v>
      </c>
      <c r="F275" s="2">
        <v>1</v>
      </c>
      <c r="G275" s="2">
        <v>2</v>
      </c>
      <c r="H275" s="2">
        <v>1</v>
      </c>
      <c r="I275" s="2">
        <v>1</v>
      </c>
      <c r="J275" s="2">
        <v>2</v>
      </c>
      <c r="K275" s="2" t="b">
        <f t="shared" si="25"/>
        <v>0</v>
      </c>
      <c r="M275" s="18"/>
      <c r="N275" s="18" t="s">
        <v>26</v>
      </c>
    </row>
    <row r="276" spans="1:20">
      <c r="A276" s="2">
        <v>3</v>
      </c>
      <c r="B276" s="2">
        <v>1</v>
      </c>
      <c r="C276" s="2">
        <v>1</v>
      </c>
      <c r="D276" s="2">
        <v>1</v>
      </c>
      <c r="E276" s="2">
        <v>2</v>
      </c>
      <c r="F276" s="2">
        <v>1</v>
      </c>
      <c r="G276" s="2">
        <v>2</v>
      </c>
      <c r="H276" s="2">
        <v>1</v>
      </c>
      <c r="I276" s="2">
        <v>1</v>
      </c>
      <c r="J276" s="2">
        <v>2</v>
      </c>
      <c r="K276" s="2" t="b">
        <f t="shared" si="25"/>
        <v>0</v>
      </c>
    </row>
    <row r="277" spans="1:20">
      <c r="A277" s="2">
        <v>1</v>
      </c>
      <c r="B277" s="2">
        <v>1</v>
      </c>
      <c r="C277" s="2">
        <v>1</v>
      </c>
      <c r="D277" s="2">
        <v>1</v>
      </c>
      <c r="E277" s="2">
        <v>1</v>
      </c>
      <c r="F277" s="2">
        <v>1</v>
      </c>
      <c r="G277" s="2">
        <v>2</v>
      </c>
      <c r="H277" s="2">
        <v>1</v>
      </c>
      <c r="I277" s="2">
        <v>1</v>
      </c>
      <c r="J277" s="2">
        <v>2</v>
      </c>
      <c r="K277" s="2" t="b">
        <f t="shared" si="25"/>
        <v>0</v>
      </c>
      <c r="M277" s="11" t="s">
        <v>37</v>
      </c>
      <c r="S277" s="17" t="s">
        <v>25</v>
      </c>
      <c r="T277" s="19">
        <f>COUNTIF($K$635:$K$701, "=TRUE")/COUNTA($K$635:$K$701)</f>
        <v>1</v>
      </c>
    </row>
    <row r="278" spans="1:20">
      <c r="A278" s="2">
        <v>4</v>
      </c>
      <c r="B278" s="2">
        <v>1</v>
      </c>
      <c r="C278" s="2">
        <v>1</v>
      </c>
      <c r="D278" s="2">
        <v>1</v>
      </c>
      <c r="E278" s="2">
        <v>2</v>
      </c>
      <c r="F278" s="2">
        <v>1</v>
      </c>
      <c r="G278" s="2">
        <v>2</v>
      </c>
      <c r="H278" s="2">
        <v>1</v>
      </c>
      <c r="I278" s="2">
        <v>1</v>
      </c>
      <c r="J278" s="2">
        <v>2</v>
      </c>
      <c r="K278" s="2" t="b">
        <f t="shared" si="25"/>
        <v>0</v>
      </c>
      <c r="N278" s="18" t="s">
        <v>26</v>
      </c>
    </row>
    <row r="279" spans="1:20">
      <c r="A279" s="2">
        <v>4</v>
      </c>
      <c r="B279" s="2">
        <v>1</v>
      </c>
      <c r="C279" s="2">
        <v>1</v>
      </c>
      <c r="D279" s="2">
        <v>2</v>
      </c>
      <c r="E279" s="2">
        <v>2</v>
      </c>
      <c r="F279" s="2">
        <v>1</v>
      </c>
      <c r="G279" s="2">
        <v>1</v>
      </c>
      <c r="H279" s="2">
        <v>1</v>
      </c>
      <c r="I279" s="2">
        <v>1</v>
      </c>
      <c r="J279" s="2">
        <v>2</v>
      </c>
      <c r="K279" s="2" t="b">
        <f t="shared" si="25"/>
        <v>0</v>
      </c>
    </row>
    <row r="280" spans="1:20">
      <c r="A280" s="2">
        <v>1</v>
      </c>
      <c r="B280" s="2">
        <v>1</v>
      </c>
      <c r="C280" s="2">
        <v>1</v>
      </c>
      <c r="D280" s="2">
        <v>1</v>
      </c>
      <c r="E280" s="2">
        <v>2</v>
      </c>
      <c r="F280" s="2">
        <v>1</v>
      </c>
      <c r="G280" s="2">
        <v>1</v>
      </c>
      <c r="H280" s="2">
        <v>1</v>
      </c>
      <c r="I280" s="2">
        <v>1</v>
      </c>
      <c r="J280" s="2">
        <v>2</v>
      </c>
      <c r="K280" s="2" t="b">
        <f t="shared" si="25"/>
        <v>0</v>
      </c>
    </row>
    <row r="281" spans="1:20">
      <c r="A281" s="2">
        <v>5</v>
      </c>
      <c r="B281" s="2">
        <v>1</v>
      </c>
      <c r="C281" s="2">
        <v>1</v>
      </c>
      <c r="D281" s="2">
        <v>1</v>
      </c>
      <c r="E281" s="2">
        <v>2</v>
      </c>
      <c r="F281" s="2">
        <v>1</v>
      </c>
      <c r="G281" s="2">
        <v>1</v>
      </c>
      <c r="H281" s="2">
        <v>1</v>
      </c>
      <c r="I281" s="2">
        <v>1</v>
      </c>
      <c r="J281" s="2">
        <v>2</v>
      </c>
      <c r="K281" s="2" t="b">
        <f t="shared" si="25"/>
        <v>0</v>
      </c>
    </row>
    <row r="282" spans="1:20">
      <c r="A282" s="2">
        <v>2</v>
      </c>
      <c r="B282" s="2">
        <v>1</v>
      </c>
      <c r="C282" s="2">
        <v>1</v>
      </c>
      <c r="D282" s="2">
        <v>1</v>
      </c>
      <c r="E282" s="2">
        <v>1</v>
      </c>
      <c r="F282" s="2">
        <v>1</v>
      </c>
      <c r="G282" s="2">
        <v>2</v>
      </c>
      <c r="H282" s="2">
        <v>1</v>
      </c>
      <c r="I282" s="2">
        <v>1</v>
      </c>
      <c r="J282" s="2">
        <v>2</v>
      </c>
      <c r="K282" s="2" t="b">
        <f t="shared" si="25"/>
        <v>0</v>
      </c>
    </row>
    <row r="283" spans="1:20">
      <c r="A283" s="2">
        <v>4</v>
      </c>
      <c r="B283" s="2">
        <v>1</v>
      </c>
      <c r="C283" s="2">
        <v>3</v>
      </c>
      <c r="D283" s="2">
        <v>1</v>
      </c>
      <c r="E283" s="2">
        <v>2</v>
      </c>
      <c r="F283" s="2">
        <v>1</v>
      </c>
      <c r="G283" s="2">
        <v>2</v>
      </c>
      <c r="H283" s="2">
        <v>1</v>
      </c>
      <c r="I283" s="2">
        <v>1</v>
      </c>
      <c r="J283" s="2">
        <v>2</v>
      </c>
      <c r="K283" s="2" t="b">
        <f t="shared" si="25"/>
        <v>0</v>
      </c>
    </row>
    <row r="284" spans="1:20">
      <c r="A284" s="2">
        <v>3</v>
      </c>
      <c r="B284" s="2">
        <v>1</v>
      </c>
      <c r="C284" s="2">
        <v>1</v>
      </c>
      <c r="D284" s="2">
        <v>1</v>
      </c>
      <c r="E284" s="2">
        <v>2</v>
      </c>
      <c r="F284" s="2">
        <v>1</v>
      </c>
      <c r="G284" s="2">
        <v>2</v>
      </c>
      <c r="H284" s="2">
        <v>1</v>
      </c>
      <c r="I284" s="2">
        <v>1</v>
      </c>
      <c r="J284" s="2">
        <v>2</v>
      </c>
      <c r="K284" s="2" t="b">
        <f t="shared" si="25"/>
        <v>0</v>
      </c>
    </row>
    <row r="285" spans="1:20">
      <c r="A285" s="2">
        <v>4</v>
      </c>
      <c r="B285" s="2">
        <v>1</v>
      </c>
      <c r="C285" s="2">
        <v>1</v>
      </c>
      <c r="D285" s="2">
        <v>1</v>
      </c>
      <c r="E285" s="2">
        <v>2</v>
      </c>
      <c r="F285" s="2">
        <v>1</v>
      </c>
      <c r="G285" s="2">
        <v>2</v>
      </c>
      <c r="H285" s="2">
        <v>1</v>
      </c>
      <c r="I285" s="2">
        <v>1</v>
      </c>
      <c r="J285" s="2">
        <v>2</v>
      </c>
      <c r="K285" s="2" t="b">
        <f t="shared" si="25"/>
        <v>0</v>
      </c>
    </row>
    <row r="286" spans="1:20">
      <c r="A286" s="2">
        <v>5</v>
      </c>
      <c r="B286" s="2">
        <v>1</v>
      </c>
      <c r="C286" s="2">
        <v>1</v>
      </c>
      <c r="D286" s="2">
        <v>1</v>
      </c>
      <c r="E286" s="2">
        <v>2</v>
      </c>
      <c r="F286" s="2">
        <v>1</v>
      </c>
      <c r="G286" s="2">
        <v>2</v>
      </c>
      <c r="H286" s="2">
        <v>1</v>
      </c>
      <c r="I286" s="2">
        <v>1</v>
      </c>
      <c r="J286" s="2">
        <v>2</v>
      </c>
      <c r="K286" s="2" t="b">
        <f t="shared" si="25"/>
        <v>0</v>
      </c>
    </row>
    <row r="287" spans="1:20">
      <c r="A287" s="2">
        <v>3</v>
      </c>
      <c r="B287" s="2">
        <v>1</v>
      </c>
      <c r="C287" s="2">
        <v>1</v>
      </c>
      <c r="D287" s="2">
        <v>1</v>
      </c>
      <c r="E287" s="2">
        <v>2</v>
      </c>
      <c r="F287" s="2">
        <v>1</v>
      </c>
      <c r="G287" s="2">
        <v>2</v>
      </c>
      <c r="H287" s="2">
        <v>1</v>
      </c>
      <c r="I287" s="2">
        <v>1</v>
      </c>
      <c r="J287" s="2">
        <v>2</v>
      </c>
      <c r="K287" s="2" t="b">
        <f t="shared" si="25"/>
        <v>0</v>
      </c>
    </row>
    <row r="288" spans="1:20">
      <c r="A288" s="2">
        <v>7</v>
      </c>
      <c r="B288" s="2">
        <v>1</v>
      </c>
      <c r="C288" s="2">
        <v>2</v>
      </c>
      <c r="D288" s="2">
        <v>3</v>
      </c>
      <c r="E288" s="2">
        <v>2</v>
      </c>
      <c r="F288" s="2">
        <v>1</v>
      </c>
      <c r="G288" s="2">
        <v>2</v>
      </c>
      <c r="H288" s="2">
        <v>1</v>
      </c>
      <c r="I288" s="2">
        <v>1</v>
      </c>
      <c r="J288" s="2">
        <v>2</v>
      </c>
      <c r="K288" s="2" t="b">
        <f t="shared" si="25"/>
        <v>0</v>
      </c>
    </row>
    <row r="289" spans="1:11">
      <c r="A289" s="2">
        <v>1</v>
      </c>
      <c r="B289" s="2">
        <v>1</v>
      </c>
      <c r="C289" s="2">
        <v>1</v>
      </c>
      <c r="D289" s="2">
        <v>1</v>
      </c>
      <c r="E289" s="2">
        <v>2</v>
      </c>
      <c r="F289" s="2">
        <v>1</v>
      </c>
      <c r="G289" s="2">
        <v>1</v>
      </c>
      <c r="H289" s="2">
        <v>1</v>
      </c>
      <c r="I289" s="2">
        <v>1</v>
      </c>
      <c r="J289" s="2">
        <v>2</v>
      </c>
      <c r="K289" s="2" t="b">
        <f t="shared" si="25"/>
        <v>0</v>
      </c>
    </row>
    <row r="290" spans="1:11">
      <c r="A290" s="2">
        <v>5</v>
      </c>
      <c r="B290" s="2">
        <v>1</v>
      </c>
      <c r="C290" s="2">
        <v>1</v>
      </c>
      <c r="D290" s="2">
        <v>2</v>
      </c>
      <c r="E290" s="2">
        <v>1</v>
      </c>
      <c r="F290" s="2">
        <v>1</v>
      </c>
      <c r="G290" s="2">
        <v>2</v>
      </c>
      <c r="H290" s="2">
        <v>1</v>
      </c>
      <c r="I290" s="2">
        <v>1</v>
      </c>
      <c r="J290" s="2">
        <v>2</v>
      </c>
      <c r="K290" s="2" t="b">
        <f t="shared" si="25"/>
        <v>0</v>
      </c>
    </row>
    <row r="291" spans="1:11">
      <c r="A291" s="2">
        <v>2</v>
      </c>
      <c r="B291" s="2">
        <v>1</v>
      </c>
      <c r="C291" s="2">
        <v>1</v>
      </c>
      <c r="D291" s="2">
        <v>1</v>
      </c>
      <c r="E291" s="2">
        <v>2</v>
      </c>
      <c r="F291" s="2">
        <v>1</v>
      </c>
      <c r="G291" s="2">
        <v>1</v>
      </c>
      <c r="H291" s="2">
        <v>1</v>
      </c>
      <c r="I291" s="2">
        <v>1</v>
      </c>
      <c r="J291" s="2">
        <v>2</v>
      </c>
      <c r="K291" s="2" t="b">
        <f t="shared" si="25"/>
        <v>0</v>
      </c>
    </row>
    <row r="292" spans="1:11">
      <c r="A292" s="2">
        <v>4</v>
      </c>
      <c r="B292" s="2">
        <v>1</v>
      </c>
      <c r="C292" s="2">
        <v>1</v>
      </c>
      <c r="D292" s="2">
        <v>1</v>
      </c>
      <c r="E292" s="2">
        <v>2</v>
      </c>
      <c r="F292" s="2">
        <v>1</v>
      </c>
      <c r="G292" s="2">
        <v>1</v>
      </c>
      <c r="H292" s="2">
        <v>1</v>
      </c>
      <c r="I292" s="2">
        <v>1</v>
      </c>
      <c r="J292" s="2">
        <v>2</v>
      </c>
      <c r="K292" s="2" t="b">
        <f t="shared" si="25"/>
        <v>0</v>
      </c>
    </row>
    <row r="293" spans="1:11">
      <c r="A293" s="2">
        <v>5</v>
      </c>
      <c r="B293" s="2">
        <v>1</v>
      </c>
      <c r="C293" s="2">
        <v>1</v>
      </c>
      <c r="D293" s="2">
        <v>1</v>
      </c>
      <c r="E293" s="2">
        <v>2</v>
      </c>
      <c r="F293" s="2">
        <v>1</v>
      </c>
      <c r="G293" s="2">
        <v>2</v>
      </c>
      <c r="H293" s="2">
        <v>1</v>
      </c>
      <c r="I293" s="2">
        <v>1</v>
      </c>
      <c r="J293" s="2">
        <v>2</v>
      </c>
      <c r="K293" s="2" t="b">
        <f t="shared" si="25"/>
        <v>0</v>
      </c>
    </row>
    <row r="294" spans="1:11">
      <c r="A294" s="2">
        <v>1</v>
      </c>
      <c r="B294" s="2">
        <v>1</v>
      </c>
      <c r="C294" s="2">
        <v>1</v>
      </c>
      <c r="D294" s="2">
        <v>1</v>
      </c>
      <c r="E294" s="2">
        <v>2</v>
      </c>
      <c r="F294" s="2">
        <v>1</v>
      </c>
      <c r="G294" s="2">
        <v>1</v>
      </c>
      <c r="H294" s="2">
        <v>1</v>
      </c>
      <c r="I294" s="2">
        <v>1</v>
      </c>
      <c r="J294" s="2">
        <v>2</v>
      </c>
      <c r="K294" s="2" t="b">
        <f t="shared" si="25"/>
        <v>0</v>
      </c>
    </row>
    <row r="295" spans="1:11">
      <c r="A295" s="2">
        <v>3</v>
      </c>
      <c r="B295" s="2">
        <v>1</v>
      </c>
      <c r="C295" s="2">
        <v>1</v>
      </c>
      <c r="D295" s="2">
        <v>1</v>
      </c>
      <c r="E295" s="2">
        <v>2</v>
      </c>
      <c r="F295" s="2">
        <v>1</v>
      </c>
      <c r="G295" s="2">
        <v>1</v>
      </c>
      <c r="H295" s="2">
        <v>1</v>
      </c>
      <c r="I295" s="2">
        <v>1</v>
      </c>
      <c r="J295" s="2">
        <v>2</v>
      </c>
      <c r="K295" s="2" t="b">
        <f t="shared" si="25"/>
        <v>0</v>
      </c>
    </row>
    <row r="296" spans="1:11">
      <c r="A296" s="2">
        <v>3</v>
      </c>
      <c r="B296" s="2">
        <v>1</v>
      </c>
      <c r="C296" s="2">
        <v>4</v>
      </c>
      <c r="D296" s="2">
        <v>1</v>
      </c>
      <c r="E296" s="2">
        <v>2</v>
      </c>
      <c r="F296" s="2">
        <v>1</v>
      </c>
      <c r="G296" s="2">
        <v>1</v>
      </c>
      <c r="H296" s="2">
        <v>1</v>
      </c>
      <c r="I296" s="2">
        <v>1</v>
      </c>
      <c r="J296" s="2">
        <v>2</v>
      </c>
      <c r="K296" s="2" t="b">
        <f t="shared" si="25"/>
        <v>0</v>
      </c>
    </row>
    <row r="297" spans="1:11">
      <c r="A297" s="2">
        <v>4</v>
      </c>
      <c r="B297" s="2">
        <v>1</v>
      </c>
      <c r="C297" s="2">
        <v>1</v>
      </c>
      <c r="D297" s="2">
        <v>1</v>
      </c>
      <c r="E297" s="2">
        <v>2</v>
      </c>
      <c r="F297" s="2">
        <v>1</v>
      </c>
      <c r="G297" s="2">
        <v>1</v>
      </c>
      <c r="H297" s="2">
        <v>1</v>
      </c>
      <c r="I297" s="2">
        <v>1</v>
      </c>
      <c r="J297" s="2">
        <v>2</v>
      </c>
      <c r="K297" s="2" t="b">
        <f t="shared" si="25"/>
        <v>0</v>
      </c>
    </row>
    <row r="298" spans="1:11">
      <c r="A298" s="2">
        <v>5</v>
      </c>
      <c r="B298" s="2">
        <v>1</v>
      </c>
      <c r="C298" s="2">
        <v>1</v>
      </c>
      <c r="D298" s="2">
        <v>3</v>
      </c>
      <c r="E298" s="2">
        <v>2</v>
      </c>
      <c r="F298" s="2">
        <v>1</v>
      </c>
      <c r="G298" s="2">
        <v>1</v>
      </c>
      <c r="H298" s="2">
        <v>1</v>
      </c>
      <c r="I298" s="2">
        <v>1</v>
      </c>
      <c r="J298" s="2">
        <v>2</v>
      </c>
      <c r="K298" s="2" t="b">
        <f t="shared" si="25"/>
        <v>0</v>
      </c>
    </row>
    <row r="299" spans="1:11">
      <c r="A299" s="2">
        <v>4</v>
      </c>
      <c r="B299" s="2">
        <v>1</v>
      </c>
      <c r="C299" s="2">
        <v>1</v>
      </c>
      <c r="D299" s="2">
        <v>3</v>
      </c>
      <c r="E299" s="2">
        <v>2</v>
      </c>
      <c r="F299" s="2">
        <v>1</v>
      </c>
      <c r="G299" s="2">
        <v>1</v>
      </c>
      <c r="H299" s="2">
        <v>1</v>
      </c>
      <c r="I299" s="2">
        <v>1</v>
      </c>
      <c r="J299" s="2">
        <v>2</v>
      </c>
      <c r="K299" s="2" t="b">
        <f t="shared" si="25"/>
        <v>0</v>
      </c>
    </row>
    <row r="300" spans="1:11">
      <c r="A300" s="2">
        <v>3</v>
      </c>
      <c r="B300" s="2">
        <v>1</v>
      </c>
      <c r="C300" s="2">
        <v>1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1</v>
      </c>
      <c r="J300" s="2">
        <v>2</v>
      </c>
      <c r="K300" s="2" t="b">
        <f t="shared" si="25"/>
        <v>0</v>
      </c>
    </row>
    <row r="301" spans="1:11">
      <c r="A301" s="2">
        <v>3</v>
      </c>
      <c r="B301" s="2">
        <v>1</v>
      </c>
      <c r="C301" s="2">
        <v>1</v>
      </c>
      <c r="D301" s="2">
        <v>1</v>
      </c>
      <c r="E301" s="2">
        <v>2</v>
      </c>
      <c r="F301" s="2">
        <v>1</v>
      </c>
      <c r="G301" s="2">
        <v>2</v>
      </c>
      <c r="H301" s="2">
        <v>1</v>
      </c>
      <c r="I301" s="2">
        <v>1</v>
      </c>
      <c r="J301" s="2">
        <v>2</v>
      </c>
      <c r="K301" s="2" t="b">
        <f t="shared" si="25"/>
        <v>0</v>
      </c>
    </row>
    <row r="302" spans="1:11">
      <c r="A302" s="2">
        <v>1</v>
      </c>
      <c r="B302" s="2">
        <v>1</v>
      </c>
      <c r="C302" s="2">
        <v>1</v>
      </c>
      <c r="D302" s="2">
        <v>1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2</v>
      </c>
      <c r="K302" s="2" t="b">
        <f t="shared" si="25"/>
        <v>0</v>
      </c>
    </row>
    <row r="303" spans="1:11">
      <c r="A303" s="2">
        <v>2</v>
      </c>
      <c r="B303" s="2">
        <v>1</v>
      </c>
      <c r="C303" s="2">
        <v>1</v>
      </c>
      <c r="D303" s="2">
        <v>1</v>
      </c>
      <c r="E303" s="2">
        <v>2</v>
      </c>
      <c r="F303" s="2">
        <v>1</v>
      </c>
      <c r="G303" s="2">
        <v>1</v>
      </c>
      <c r="H303" s="2">
        <v>1</v>
      </c>
      <c r="I303" s="2">
        <v>1</v>
      </c>
      <c r="J303" s="2">
        <v>2</v>
      </c>
      <c r="K303" s="2" t="b">
        <f t="shared" si="25"/>
        <v>0</v>
      </c>
    </row>
    <row r="304" spans="1:11">
      <c r="A304" s="2">
        <v>3</v>
      </c>
      <c r="B304" s="2">
        <v>1</v>
      </c>
      <c r="C304" s="2">
        <v>1</v>
      </c>
      <c r="D304" s="2">
        <v>1</v>
      </c>
      <c r="E304" s="2">
        <v>2</v>
      </c>
      <c r="F304" s="2">
        <v>1</v>
      </c>
      <c r="G304" s="2">
        <v>2</v>
      </c>
      <c r="H304" s="2">
        <v>1</v>
      </c>
      <c r="I304" s="2">
        <v>1</v>
      </c>
      <c r="J304" s="2">
        <v>2</v>
      </c>
      <c r="K304" s="2" t="b">
        <f t="shared" si="25"/>
        <v>0</v>
      </c>
    </row>
    <row r="305" spans="1:11">
      <c r="A305" s="2">
        <v>1</v>
      </c>
      <c r="B305" s="2">
        <v>1</v>
      </c>
      <c r="C305" s="2">
        <v>1</v>
      </c>
      <c r="D305" s="2">
        <v>3</v>
      </c>
      <c r="E305" s="2">
        <v>2</v>
      </c>
      <c r="F305" s="2">
        <v>1</v>
      </c>
      <c r="G305" s="2">
        <v>1</v>
      </c>
      <c r="H305" s="2">
        <v>1</v>
      </c>
      <c r="I305" s="2">
        <v>1</v>
      </c>
      <c r="J305" s="2">
        <v>2</v>
      </c>
      <c r="K305" s="2" t="b">
        <f t="shared" si="25"/>
        <v>0</v>
      </c>
    </row>
    <row r="306" spans="1:11">
      <c r="A306" s="2">
        <v>3</v>
      </c>
      <c r="B306" s="2">
        <v>1</v>
      </c>
      <c r="C306" s="2">
        <v>1</v>
      </c>
      <c r="D306" s="2">
        <v>1</v>
      </c>
      <c r="E306" s="2">
        <v>2</v>
      </c>
      <c r="F306" s="2">
        <v>1</v>
      </c>
      <c r="G306" s="2">
        <v>2</v>
      </c>
      <c r="H306" s="2">
        <v>1</v>
      </c>
      <c r="I306" s="2">
        <v>1</v>
      </c>
      <c r="J306" s="2">
        <v>2</v>
      </c>
      <c r="K306" s="2" t="b">
        <f t="shared" si="25"/>
        <v>0</v>
      </c>
    </row>
    <row r="307" spans="1:11">
      <c r="A307" s="2">
        <v>5</v>
      </c>
      <c r="B307" s="2">
        <v>1</v>
      </c>
      <c r="C307" s="2">
        <v>1</v>
      </c>
      <c r="D307" s="2">
        <v>1</v>
      </c>
      <c r="E307" s="2">
        <v>2</v>
      </c>
      <c r="F307" s="2">
        <v>1</v>
      </c>
      <c r="G307" s="2">
        <v>2</v>
      </c>
      <c r="H307" s="2">
        <v>2</v>
      </c>
      <c r="I307" s="2">
        <v>1</v>
      </c>
      <c r="J307" s="2">
        <v>2</v>
      </c>
      <c r="K307" s="2" t="b">
        <f t="shared" si="25"/>
        <v>0</v>
      </c>
    </row>
    <row r="308" spans="1:11">
      <c r="A308" s="2">
        <v>4</v>
      </c>
      <c r="B308" s="2">
        <v>1</v>
      </c>
      <c r="C308" s="2">
        <v>1</v>
      </c>
      <c r="D308" s="2">
        <v>1</v>
      </c>
      <c r="E308" s="2">
        <v>2</v>
      </c>
      <c r="F308" s="2">
        <v>1</v>
      </c>
      <c r="G308" s="2">
        <v>2</v>
      </c>
      <c r="H308" s="2">
        <v>1</v>
      </c>
      <c r="I308" s="2">
        <v>1</v>
      </c>
      <c r="J308" s="2">
        <v>2</v>
      </c>
      <c r="K308" s="2" t="b">
        <f t="shared" si="25"/>
        <v>0</v>
      </c>
    </row>
    <row r="309" spans="1:11">
      <c r="A309" s="2">
        <v>3</v>
      </c>
      <c r="B309" s="2">
        <v>1</v>
      </c>
      <c r="C309" s="2">
        <v>1</v>
      </c>
      <c r="D309" s="2">
        <v>1</v>
      </c>
      <c r="E309" s="2">
        <v>2</v>
      </c>
      <c r="F309" s="2">
        <v>1</v>
      </c>
      <c r="G309" s="2">
        <v>3</v>
      </c>
      <c r="H309" s="2">
        <v>1</v>
      </c>
      <c r="I309" s="2">
        <v>1</v>
      </c>
      <c r="J309" s="2">
        <v>2</v>
      </c>
      <c r="K309" s="2" t="b">
        <f t="shared" si="25"/>
        <v>0</v>
      </c>
    </row>
    <row r="310" spans="1:11">
      <c r="A310" s="2">
        <v>3</v>
      </c>
      <c r="B310" s="2">
        <v>1</v>
      </c>
      <c r="C310" s="2">
        <v>1</v>
      </c>
      <c r="D310" s="2">
        <v>1</v>
      </c>
      <c r="E310" s="2">
        <v>2</v>
      </c>
      <c r="F310" s="2">
        <v>1</v>
      </c>
      <c r="G310" s="2">
        <v>2</v>
      </c>
      <c r="H310" s="2">
        <v>1</v>
      </c>
      <c r="I310" s="2">
        <v>1</v>
      </c>
      <c r="J310" s="2">
        <v>2</v>
      </c>
      <c r="K310" s="2" t="b">
        <f t="shared" si="25"/>
        <v>0</v>
      </c>
    </row>
    <row r="311" spans="1:11">
      <c r="A311" s="2">
        <v>5</v>
      </c>
      <c r="B311" s="2">
        <v>1</v>
      </c>
      <c r="C311" s="2">
        <v>1</v>
      </c>
      <c r="D311" s="2">
        <v>1</v>
      </c>
      <c r="E311" s="2">
        <v>2</v>
      </c>
      <c r="F311" s="2">
        <v>1</v>
      </c>
      <c r="G311" s="2">
        <v>2</v>
      </c>
      <c r="H311" s="2">
        <v>1</v>
      </c>
      <c r="I311" s="2">
        <v>1</v>
      </c>
      <c r="J311" s="2">
        <v>2</v>
      </c>
      <c r="K311" s="2" t="b">
        <f t="shared" si="25"/>
        <v>0</v>
      </c>
    </row>
    <row r="312" spans="1:11">
      <c r="A312" s="2">
        <v>1</v>
      </c>
      <c r="B312" s="2">
        <v>1</v>
      </c>
      <c r="C312" s="2">
        <v>1</v>
      </c>
      <c r="D312" s="2">
        <v>1</v>
      </c>
      <c r="E312" s="2">
        <v>2</v>
      </c>
      <c r="F312" s="2">
        <v>1</v>
      </c>
      <c r="G312" s="2">
        <v>1</v>
      </c>
      <c r="H312" s="2">
        <v>1</v>
      </c>
      <c r="I312" s="2">
        <v>1</v>
      </c>
      <c r="J312" s="2">
        <v>2</v>
      </c>
      <c r="K312" s="2" t="b">
        <f t="shared" si="25"/>
        <v>0</v>
      </c>
    </row>
    <row r="313" spans="1:11">
      <c r="A313" s="2">
        <v>1</v>
      </c>
      <c r="B313" s="2">
        <v>1</v>
      </c>
      <c r="C313" s="2">
        <v>1</v>
      </c>
      <c r="D313" s="2">
        <v>1</v>
      </c>
      <c r="E313" s="2">
        <v>2</v>
      </c>
      <c r="F313" s="2">
        <v>1</v>
      </c>
      <c r="G313" s="2">
        <v>2</v>
      </c>
      <c r="H313" s="2">
        <v>1</v>
      </c>
      <c r="I313" s="2">
        <v>1</v>
      </c>
      <c r="J313" s="2">
        <v>2</v>
      </c>
      <c r="K313" s="2" t="b">
        <f t="shared" si="25"/>
        <v>0</v>
      </c>
    </row>
    <row r="314" spans="1:11">
      <c r="A314" s="2">
        <v>4</v>
      </c>
      <c r="B314" s="2">
        <v>1</v>
      </c>
      <c r="C314" s="2">
        <v>1</v>
      </c>
      <c r="D314" s="2">
        <v>1</v>
      </c>
      <c r="E314" s="2">
        <v>2</v>
      </c>
      <c r="F314" s="2">
        <v>1</v>
      </c>
      <c r="G314" s="2">
        <v>3</v>
      </c>
      <c r="H314" s="2">
        <v>1</v>
      </c>
      <c r="I314" s="2">
        <v>1</v>
      </c>
      <c r="J314" s="2">
        <v>2</v>
      </c>
      <c r="K314" s="2" t="b">
        <f t="shared" si="25"/>
        <v>0</v>
      </c>
    </row>
    <row r="315" spans="1:11">
      <c r="A315" s="2">
        <v>1</v>
      </c>
      <c r="B315" s="2">
        <v>1</v>
      </c>
      <c r="C315" s="2">
        <v>3</v>
      </c>
      <c r="D315" s="2">
        <v>1</v>
      </c>
      <c r="E315" s="2">
        <v>2</v>
      </c>
      <c r="F315" s="2">
        <v>1</v>
      </c>
      <c r="G315" s="2">
        <v>2</v>
      </c>
      <c r="H315" s="2">
        <v>1</v>
      </c>
      <c r="I315" s="2">
        <v>1</v>
      </c>
      <c r="J315" s="2">
        <v>2</v>
      </c>
      <c r="K315" s="2" t="b">
        <f t="shared" si="25"/>
        <v>0</v>
      </c>
    </row>
    <row r="316" spans="1:11">
      <c r="A316" s="2">
        <v>1</v>
      </c>
      <c r="B316" s="2">
        <v>1</v>
      </c>
      <c r="C316" s="2">
        <v>3</v>
      </c>
      <c r="D316" s="2">
        <v>1</v>
      </c>
      <c r="E316" s="2">
        <v>2</v>
      </c>
      <c r="F316" s="2">
        <v>1</v>
      </c>
      <c r="G316" s="2">
        <v>2</v>
      </c>
      <c r="H316" s="2">
        <v>1</v>
      </c>
      <c r="I316" s="2">
        <v>1</v>
      </c>
      <c r="J316" s="2">
        <v>2</v>
      </c>
      <c r="K316" s="2" t="b">
        <f t="shared" si="25"/>
        <v>0</v>
      </c>
    </row>
    <row r="317" spans="1:11">
      <c r="A317" s="2">
        <v>3</v>
      </c>
      <c r="B317" s="2">
        <v>1</v>
      </c>
      <c r="C317" s="2">
        <v>1</v>
      </c>
      <c r="D317" s="2">
        <v>3</v>
      </c>
      <c r="E317" s="2">
        <v>2</v>
      </c>
      <c r="F317" s="2">
        <v>1</v>
      </c>
      <c r="G317" s="2">
        <v>2</v>
      </c>
      <c r="H317" s="2">
        <v>1</v>
      </c>
      <c r="I317" s="2">
        <v>1</v>
      </c>
      <c r="J317" s="2">
        <v>2</v>
      </c>
      <c r="K317" s="2" t="b">
        <f t="shared" si="25"/>
        <v>0</v>
      </c>
    </row>
    <row r="318" spans="1:11">
      <c r="A318" s="2">
        <v>1</v>
      </c>
      <c r="B318" s="2">
        <v>1</v>
      </c>
      <c r="C318" s="2">
        <v>1</v>
      </c>
      <c r="D318" s="2">
        <v>1</v>
      </c>
      <c r="E318" s="2">
        <v>2</v>
      </c>
      <c r="F318" s="2">
        <v>1</v>
      </c>
      <c r="G318" s="2">
        <v>1</v>
      </c>
      <c r="H318" s="2">
        <v>1</v>
      </c>
      <c r="I318" s="2">
        <v>1</v>
      </c>
      <c r="J318" s="2">
        <v>2</v>
      </c>
      <c r="K318" s="2" t="b">
        <f t="shared" si="25"/>
        <v>0</v>
      </c>
    </row>
    <row r="319" spans="1:11">
      <c r="A319" s="2">
        <v>3</v>
      </c>
      <c r="B319" s="2">
        <v>1</v>
      </c>
      <c r="C319" s="2">
        <v>1</v>
      </c>
      <c r="D319" s="2">
        <v>1</v>
      </c>
      <c r="E319" s="2">
        <v>2</v>
      </c>
      <c r="F319" s="2">
        <v>1</v>
      </c>
      <c r="G319" s="2">
        <v>3</v>
      </c>
      <c r="H319" s="2">
        <v>1</v>
      </c>
      <c r="I319" s="2">
        <v>1</v>
      </c>
      <c r="J319" s="2">
        <v>2</v>
      </c>
      <c r="K319" s="2" t="b">
        <f t="shared" si="25"/>
        <v>0</v>
      </c>
    </row>
    <row r="320" spans="1:11">
      <c r="A320" s="2">
        <v>2</v>
      </c>
      <c r="B320" s="2">
        <v>1</v>
      </c>
      <c r="C320" s="2">
        <v>1</v>
      </c>
      <c r="D320" s="2">
        <v>1</v>
      </c>
      <c r="E320" s="2">
        <v>2</v>
      </c>
      <c r="F320" s="2">
        <v>1</v>
      </c>
      <c r="G320" s="2">
        <v>3</v>
      </c>
      <c r="H320" s="2">
        <v>1</v>
      </c>
      <c r="I320" s="2">
        <v>1</v>
      </c>
      <c r="J320" s="2">
        <v>2</v>
      </c>
      <c r="K320" s="2" t="b">
        <f t="shared" si="25"/>
        <v>0</v>
      </c>
    </row>
    <row r="321" spans="1:11">
      <c r="A321" s="2">
        <v>1</v>
      </c>
      <c r="B321" s="2">
        <v>1</v>
      </c>
      <c r="C321" s="2">
        <v>1</v>
      </c>
      <c r="D321" s="2">
        <v>1</v>
      </c>
      <c r="E321" s="2">
        <v>2</v>
      </c>
      <c r="F321" s="2">
        <v>1</v>
      </c>
      <c r="G321" s="2">
        <v>2</v>
      </c>
      <c r="H321" s="2">
        <v>1</v>
      </c>
      <c r="I321" s="2">
        <v>1</v>
      </c>
      <c r="J321" s="2">
        <v>2</v>
      </c>
      <c r="K321" s="2" t="b">
        <f t="shared" si="25"/>
        <v>0</v>
      </c>
    </row>
    <row r="322" spans="1:11">
      <c r="A322" s="2">
        <v>4</v>
      </c>
      <c r="B322" s="2">
        <v>1</v>
      </c>
      <c r="C322" s="2">
        <v>4</v>
      </c>
      <c r="D322" s="2">
        <v>1</v>
      </c>
      <c r="E322" s="2">
        <v>2</v>
      </c>
      <c r="F322" s="2">
        <v>1</v>
      </c>
      <c r="G322" s="2">
        <v>1</v>
      </c>
      <c r="H322" s="2">
        <v>1</v>
      </c>
      <c r="I322" s="2">
        <v>1</v>
      </c>
      <c r="J322" s="2">
        <v>2</v>
      </c>
      <c r="K322" s="2" t="b">
        <f t="shared" si="25"/>
        <v>0</v>
      </c>
    </row>
    <row r="323" spans="1:11">
      <c r="A323" s="2">
        <v>1</v>
      </c>
      <c r="B323" s="2">
        <v>1</v>
      </c>
      <c r="C323" s="2">
        <v>2</v>
      </c>
      <c r="D323" s="2">
        <v>1</v>
      </c>
      <c r="E323" s="2">
        <v>2</v>
      </c>
      <c r="F323" s="2">
        <v>1</v>
      </c>
      <c r="G323" s="2">
        <v>2</v>
      </c>
      <c r="H323" s="2">
        <v>1</v>
      </c>
      <c r="I323" s="2">
        <v>1</v>
      </c>
      <c r="J323" s="2">
        <v>2</v>
      </c>
      <c r="K323" s="2" t="b">
        <f t="shared" ref="K323:K386" si="27">IF(J323=4, TRUE, FALSE)</f>
        <v>0</v>
      </c>
    </row>
    <row r="324" spans="1:11">
      <c r="A324" s="2">
        <v>5</v>
      </c>
      <c r="B324" s="2">
        <v>1</v>
      </c>
      <c r="C324" s="2">
        <v>1</v>
      </c>
      <c r="D324" s="2">
        <v>1</v>
      </c>
      <c r="E324" s="2">
        <v>2</v>
      </c>
      <c r="F324" s="2">
        <v>1</v>
      </c>
      <c r="G324" s="2">
        <v>1</v>
      </c>
      <c r="H324" s="2">
        <v>1</v>
      </c>
      <c r="I324" s="2">
        <v>1</v>
      </c>
      <c r="J324" s="2">
        <v>2</v>
      </c>
      <c r="K324" s="2" t="b">
        <f t="shared" si="27"/>
        <v>0</v>
      </c>
    </row>
    <row r="325" spans="1:11">
      <c r="A325" s="2">
        <v>1</v>
      </c>
      <c r="B325" s="2">
        <v>1</v>
      </c>
      <c r="C325" s="2">
        <v>1</v>
      </c>
      <c r="D325" s="2">
        <v>1</v>
      </c>
      <c r="E325" s="2">
        <v>2</v>
      </c>
      <c r="F325" s="2">
        <v>1</v>
      </c>
      <c r="G325" s="2">
        <v>1</v>
      </c>
      <c r="H325" s="2">
        <v>1</v>
      </c>
      <c r="I325" s="2">
        <v>1</v>
      </c>
      <c r="J325" s="2">
        <v>2</v>
      </c>
      <c r="K325" s="2" t="b">
        <f t="shared" si="27"/>
        <v>0</v>
      </c>
    </row>
    <row r="326" spans="1:11">
      <c r="A326" s="2">
        <v>2</v>
      </c>
      <c r="B326" s="2">
        <v>1</v>
      </c>
      <c r="C326" s="2">
        <v>1</v>
      </c>
      <c r="D326" s="2">
        <v>1</v>
      </c>
      <c r="E326" s="2">
        <v>2</v>
      </c>
      <c r="F326" s="2">
        <v>1</v>
      </c>
      <c r="G326" s="2">
        <v>1</v>
      </c>
      <c r="H326" s="2">
        <v>1</v>
      </c>
      <c r="I326" s="2">
        <v>1</v>
      </c>
      <c r="J326" s="2">
        <v>2</v>
      </c>
      <c r="K326" s="2" t="b">
        <f t="shared" si="27"/>
        <v>0</v>
      </c>
    </row>
    <row r="327" spans="1:11">
      <c r="A327" s="2">
        <v>5</v>
      </c>
      <c r="B327" s="2">
        <v>1</v>
      </c>
      <c r="C327" s="2">
        <v>1</v>
      </c>
      <c r="D327" s="2">
        <v>1</v>
      </c>
      <c r="E327" s="2">
        <v>2</v>
      </c>
      <c r="F327" s="2">
        <v>1</v>
      </c>
      <c r="G327" s="2">
        <v>3</v>
      </c>
      <c r="H327" s="2">
        <v>2</v>
      </c>
      <c r="I327" s="2">
        <v>1</v>
      </c>
      <c r="J327" s="2">
        <v>2</v>
      </c>
      <c r="K327" s="2" t="b">
        <f t="shared" si="27"/>
        <v>0</v>
      </c>
    </row>
    <row r="328" spans="1:11">
      <c r="A328" s="2">
        <v>1</v>
      </c>
      <c r="B328" s="2">
        <v>1</v>
      </c>
      <c r="C328" s="2">
        <v>1</v>
      </c>
      <c r="D328" s="2">
        <v>1</v>
      </c>
      <c r="E328" s="2">
        <v>2</v>
      </c>
      <c r="F328" s="2">
        <v>1</v>
      </c>
      <c r="G328" s="2">
        <v>1</v>
      </c>
      <c r="H328" s="2">
        <v>1</v>
      </c>
      <c r="I328" s="2">
        <v>1</v>
      </c>
      <c r="J328" s="2">
        <v>2</v>
      </c>
      <c r="K328" s="2" t="b">
        <f t="shared" si="27"/>
        <v>0</v>
      </c>
    </row>
    <row r="329" spans="1:11">
      <c r="A329" s="2">
        <v>1</v>
      </c>
      <c r="B329" s="2">
        <v>1</v>
      </c>
      <c r="C329" s="2">
        <v>1</v>
      </c>
      <c r="D329" s="2">
        <v>1</v>
      </c>
      <c r="E329" s="2">
        <v>2</v>
      </c>
      <c r="F329" s="2">
        <v>1</v>
      </c>
      <c r="G329" s="2">
        <v>1</v>
      </c>
      <c r="H329" s="2">
        <v>1</v>
      </c>
      <c r="I329" s="2">
        <v>1</v>
      </c>
      <c r="J329" s="2">
        <v>2</v>
      </c>
      <c r="K329" s="2" t="b">
        <f t="shared" si="27"/>
        <v>0</v>
      </c>
    </row>
    <row r="330" spans="1:11">
      <c r="A330" s="2">
        <v>1</v>
      </c>
      <c r="B330" s="2">
        <v>1</v>
      </c>
      <c r="C330" s="2">
        <v>1</v>
      </c>
      <c r="D330" s="2">
        <v>1</v>
      </c>
      <c r="E330" s="2">
        <v>2</v>
      </c>
      <c r="F330" s="2">
        <v>1</v>
      </c>
      <c r="G330" s="2">
        <v>1</v>
      </c>
      <c r="H330" s="2">
        <v>1</v>
      </c>
      <c r="I330" s="2">
        <v>1</v>
      </c>
      <c r="J330" s="2">
        <v>2</v>
      </c>
      <c r="K330" s="2" t="b">
        <f t="shared" si="27"/>
        <v>0</v>
      </c>
    </row>
    <row r="331" spans="1:11">
      <c r="A331" s="2">
        <v>1</v>
      </c>
      <c r="B331" s="2">
        <v>1</v>
      </c>
      <c r="C331" s="2">
        <v>1</v>
      </c>
      <c r="D331" s="2">
        <v>1</v>
      </c>
      <c r="E331" s="2">
        <v>2</v>
      </c>
      <c r="F331" s="2">
        <v>1</v>
      </c>
      <c r="G331" s="2">
        <v>1</v>
      </c>
      <c r="H331" s="2">
        <v>1</v>
      </c>
      <c r="I331" s="2">
        <v>1</v>
      </c>
      <c r="J331" s="2">
        <v>2</v>
      </c>
      <c r="K331" s="2" t="b">
        <f t="shared" si="27"/>
        <v>0</v>
      </c>
    </row>
    <row r="332" spans="1:11">
      <c r="A332" s="2">
        <v>3</v>
      </c>
      <c r="B332" s="2">
        <v>1</v>
      </c>
      <c r="C332" s="2">
        <v>1</v>
      </c>
      <c r="D332" s="2">
        <v>1</v>
      </c>
      <c r="E332" s="2">
        <v>2</v>
      </c>
      <c r="F332" s="2">
        <v>1</v>
      </c>
      <c r="G332" s="2">
        <v>2</v>
      </c>
      <c r="H332" s="2">
        <v>3</v>
      </c>
      <c r="I332" s="2">
        <v>1</v>
      </c>
      <c r="J332" s="2">
        <v>2</v>
      </c>
      <c r="K332" s="2" t="b">
        <f t="shared" si="27"/>
        <v>0</v>
      </c>
    </row>
    <row r="333" spans="1:11">
      <c r="A333" s="2">
        <v>4</v>
      </c>
      <c r="B333" s="2">
        <v>1</v>
      </c>
      <c r="C333" s="2">
        <v>1</v>
      </c>
      <c r="D333" s="2">
        <v>1</v>
      </c>
      <c r="E333" s="2">
        <v>2</v>
      </c>
      <c r="F333" s="2">
        <v>1</v>
      </c>
      <c r="G333" s="2">
        <v>1</v>
      </c>
      <c r="H333" s="2">
        <v>1</v>
      </c>
      <c r="I333" s="2">
        <v>1</v>
      </c>
      <c r="J333" s="2">
        <v>2</v>
      </c>
      <c r="K333" s="2" t="b">
        <f t="shared" si="27"/>
        <v>0</v>
      </c>
    </row>
    <row r="334" spans="1:11">
      <c r="A334" s="2">
        <v>1</v>
      </c>
      <c r="B334" s="2">
        <v>1</v>
      </c>
      <c r="C334" s="2">
        <v>1</v>
      </c>
      <c r="D334" s="2">
        <v>1</v>
      </c>
      <c r="E334" s="2">
        <v>2</v>
      </c>
      <c r="F334" s="2">
        <v>1</v>
      </c>
      <c r="G334" s="2">
        <v>1</v>
      </c>
      <c r="H334" s="2">
        <v>1</v>
      </c>
      <c r="I334" s="2">
        <v>8</v>
      </c>
      <c r="J334" s="2">
        <v>2</v>
      </c>
      <c r="K334" s="2" t="b">
        <f t="shared" si="27"/>
        <v>0</v>
      </c>
    </row>
    <row r="335" spans="1:11">
      <c r="A335" s="2">
        <v>1</v>
      </c>
      <c r="B335" s="2">
        <v>1</v>
      </c>
      <c r="C335" s="2">
        <v>1</v>
      </c>
      <c r="D335" s="2">
        <v>3</v>
      </c>
      <c r="E335" s="2">
        <v>2</v>
      </c>
      <c r="F335" s="2">
        <v>1</v>
      </c>
      <c r="G335" s="2">
        <v>1</v>
      </c>
      <c r="H335" s="2">
        <v>1</v>
      </c>
      <c r="I335" s="2">
        <v>1</v>
      </c>
      <c r="J335" s="2">
        <v>2</v>
      </c>
      <c r="K335" s="2" t="b">
        <f t="shared" si="27"/>
        <v>0</v>
      </c>
    </row>
    <row r="336" spans="1:11">
      <c r="A336" s="2">
        <v>3</v>
      </c>
      <c r="B336" s="2">
        <v>1</v>
      </c>
      <c r="C336" s="2">
        <v>1</v>
      </c>
      <c r="D336" s="2">
        <v>1</v>
      </c>
      <c r="E336" s="2">
        <v>2</v>
      </c>
      <c r="F336" s="2">
        <v>1</v>
      </c>
      <c r="G336" s="2">
        <v>1</v>
      </c>
      <c r="H336" s="2">
        <v>1</v>
      </c>
      <c r="I336" s="2">
        <v>1</v>
      </c>
      <c r="J336" s="2">
        <v>2</v>
      </c>
      <c r="K336" s="2" t="b">
        <f t="shared" si="27"/>
        <v>0</v>
      </c>
    </row>
    <row r="337" spans="1:11">
      <c r="A337" s="2">
        <v>3</v>
      </c>
      <c r="B337" s="2">
        <v>1</v>
      </c>
      <c r="C337" s="2">
        <v>1</v>
      </c>
      <c r="D337" s="2">
        <v>1</v>
      </c>
      <c r="E337" s="2">
        <v>2</v>
      </c>
      <c r="F337" s="2">
        <v>1</v>
      </c>
      <c r="G337" s="2">
        <v>2</v>
      </c>
      <c r="H337" s="2">
        <v>1</v>
      </c>
      <c r="I337" s="2">
        <v>2</v>
      </c>
      <c r="J337" s="2">
        <v>2</v>
      </c>
      <c r="K337" s="2" t="b">
        <f t="shared" si="27"/>
        <v>0</v>
      </c>
    </row>
    <row r="338" spans="1:11">
      <c r="A338" s="2">
        <v>2</v>
      </c>
      <c r="B338" s="2">
        <v>1</v>
      </c>
      <c r="C338" s="2">
        <v>1</v>
      </c>
      <c r="D338" s="2">
        <v>1</v>
      </c>
      <c r="E338" s="2">
        <v>2</v>
      </c>
      <c r="F338" s="2">
        <v>1</v>
      </c>
      <c r="G338" s="2">
        <v>1</v>
      </c>
      <c r="H338" s="2">
        <v>1</v>
      </c>
      <c r="I338" s="2">
        <v>1</v>
      </c>
      <c r="J338" s="2">
        <v>2</v>
      </c>
      <c r="K338" s="2" t="b">
        <f t="shared" si="27"/>
        <v>0</v>
      </c>
    </row>
    <row r="339" spans="1:11">
      <c r="A339" s="2">
        <v>3</v>
      </c>
      <c r="B339" s="2">
        <v>1</v>
      </c>
      <c r="C339" s="2">
        <v>1</v>
      </c>
      <c r="D339" s="2">
        <v>1</v>
      </c>
      <c r="E339" s="2">
        <v>2</v>
      </c>
      <c r="F339" s="2">
        <v>2</v>
      </c>
      <c r="G339" s="2">
        <v>3</v>
      </c>
      <c r="H339" s="2">
        <v>1</v>
      </c>
      <c r="I339" s="2">
        <v>1</v>
      </c>
      <c r="J339" s="2">
        <v>2</v>
      </c>
      <c r="K339" s="2" t="b">
        <f t="shared" si="27"/>
        <v>0</v>
      </c>
    </row>
    <row r="340" spans="1:11">
      <c r="A340" s="2">
        <v>1</v>
      </c>
      <c r="B340" s="2">
        <v>1</v>
      </c>
      <c r="C340" s="2">
        <v>1</v>
      </c>
      <c r="D340" s="2">
        <v>1</v>
      </c>
      <c r="E340" s="2">
        <v>2</v>
      </c>
      <c r="F340" s="2">
        <v>2</v>
      </c>
      <c r="G340" s="2">
        <v>2</v>
      </c>
      <c r="H340" s="2">
        <v>1</v>
      </c>
      <c r="I340" s="2">
        <v>1</v>
      </c>
      <c r="J340" s="2">
        <v>2</v>
      </c>
      <c r="K340" s="2" t="b">
        <f t="shared" si="27"/>
        <v>0</v>
      </c>
    </row>
    <row r="341" spans="1:11">
      <c r="A341" s="2">
        <v>1</v>
      </c>
      <c r="B341" s="2">
        <v>1</v>
      </c>
      <c r="C341" s="2">
        <v>2</v>
      </c>
      <c r="D341" s="2">
        <v>1</v>
      </c>
      <c r="E341" s="2">
        <v>2</v>
      </c>
      <c r="F341" s="2">
        <v>2</v>
      </c>
      <c r="G341" s="2">
        <v>4</v>
      </c>
      <c r="H341" s="2">
        <v>2</v>
      </c>
      <c r="I341" s="2">
        <v>1</v>
      </c>
      <c r="J341" s="2">
        <v>2</v>
      </c>
      <c r="K341" s="2" t="b">
        <f t="shared" si="27"/>
        <v>0</v>
      </c>
    </row>
    <row r="342" spans="1:11">
      <c r="A342" s="2">
        <v>3</v>
      </c>
      <c r="B342" s="2">
        <v>1</v>
      </c>
      <c r="C342" s="2">
        <v>1</v>
      </c>
      <c r="D342" s="2">
        <v>1</v>
      </c>
      <c r="E342" s="2">
        <v>2</v>
      </c>
      <c r="F342" s="2">
        <v>2</v>
      </c>
      <c r="G342" s="2">
        <v>7</v>
      </c>
      <c r="H342" s="2">
        <v>1</v>
      </c>
      <c r="I342" s="2">
        <v>1</v>
      </c>
      <c r="J342" s="2">
        <v>2</v>
      </c>
      <c r="K342" s="2" t="b">
        <f t="shared" si="27"/>
        <v>0</v>
      </c>
    </row>
    <row r="343" spans="1:11">
      <c r="A343" s="2">
        <v>5</v>
      </c>
      <c r="B343" s="2">
        <v>1</v>
      </c>
      <c r="C343" s="2">
        <v>1</v>
      </c>
      <c r="D343" s="2">
        <v>1</v>
      </c>
      <c r="E343" s="2">
        <v>2</v>
      </c>
      <c r="F343" s="2">
        <v>2</v>
      </c>
      <c r="G343" s="2">
        <v>3</v>
      </c>
      <c r="H343" s="2">
        <v>3</v>
      </c>
      <c r="I343" s="2">
        <v>1</v>
      </c>
      <c r="J343" s="2">
        <v>2</v>
      </c>
      <c r="K343" s="2" t="b">
        <f t="shared" si="27"/>
        <v>0</v>
      </c>
    </row>
    <row r="344" spans="1:11">
      <c r="A344" s="2">
        <v>1</v>
      </c>
      <c r="B344" s="2">
        <v>1</v>
      </c>
      <c r="C344" s="2">
        <v>1</v>
      </c>
      <c r="D344" s="2">
        <v>1</v>
      </c>
      <c r="E344" s="2">
        <v>3</v>
      </c>
      <c r="F344" s="2">
        <v>2</v>
      </c>
      <c r="G344" s="2">
        <v>2</v>
      </c>
      <c r="H344" s="2">
        <v>1</v>
      </c>
      <c r="I344" s="2">
        <v>1</v>
      </c>
      <c r="J344" s="2">
        <v>2</v>
      </c>
      <c r="K344" s="2" t="b">
        <f t="shared" si="27"/>
        <v>0</v>
      </c>
    </row>
    <row r="345" spans="1:11">
      <c r="A345" s="2">
        <v>4</v>
      </c>
      <c r="B345" s="2">
        <v>1</v>
      </c>
      <c r="C345" s="2">
        <v>1</v>
      </c>
      <c r="D345" s="2">
        <v>1</v>
      </c>
      <c r="E345" s="2">
        <v>2</v>
      </c>
      <c r="F345" s="2">
        <v>2</v>
      </c>
      <c r="G345" s="2">
        <v>3</v>
      </c>
      <c r="H345" s="2">
        <v>2</v>
      </c>
      <c r="I345" s="2">
        <v>1</v>
      </c>
      <c r="J345" s="2">
        <v>2</v>
      </c>
      <c r="K345" s="2" t="b">
        <f t="shared" si="27"/>
        <v>0</v>
      </c>
    </row>
    <row r="346" spans="1:11">
      <c r="A346" s="2">
        <v>5</v>
      </c>
      <c r="B346" s="2">
        <v>1</v>
      </c>
      <c r="C346" s="2">
        <v>3</v>
      </c>
      <c r="D346" s="2">
        <v>3</v>
      </c>
      <c r="E346" s="2">
        <v>2</v>
      </c>
      <c r="F346" s="2">
        <v>2</v>
      </c>
      <c r="G346" s="2">
        <v>2</v>
      </c>
      <c r="H346" s="2">
        <v>3</v>
      </c>
      <c r="I346" s="2">
        <v>1</v>
      </c>
      <c r="J346" s="2">
        <v>2</v>
      </c>
      <c r="K346" s="2" t="b">
        <f t="shared" si="27"/>
        <v>0</v>
      </c>
    </row>
    <row r="347" spans="1:11">
      <c r="A347" s="2">
        <v>5</v>
      </c>
      <c r="B347" s="2">
        <v>1</v>
      </c>
      <c r="C347" s="2">
        <v>1</v>
      </c>
      <c r="D347" s="2">
        <v>2</v>
      </c>
      <c r="E347" s="2">
        <v>2</v>
      </c>
      <c r="F347" s="2">
        <v>2</v>
      </c>
      <c r="G347" s="2">
        <v>3</v>
      </c>
      <c r="H347" s="2">
        <v>1</v>
      </c>
      <c r="I347" s="2">
        <v>1</v>
      </c>
      <c r="J347" s="2">
        <v>2</v>
      </c>
      <c r="K347" s="2" t="b">
        <f t="shared" si="27"/>
        <v>0</v>
      </c>
    </row>
    <row r="348" spans="1:11">
      <c r="A348" s="2">
        <v>5</v>
      </c>
      <c r="B348" s="2">
        <v>1</v>
      </c>
      <c r="C348" s="2">
        <v>1</v>
      </c>
      <c r="D348" s="2">
        <v>1</v>
      </c>
      <c r="E348" s="2">
        <v>3</v>
      </c>
      <c r="F348" s="2">
        <v>2</v>
      </c>
      <c r="G348" s="2">
        <v>2</v>
      </c>
      <c r="H348" s="2">
        <v>2</v>
      </c>
      <c r="I348" s="2">
        <v>1</v>
      </c>
      <c r="J348" s="2">
        <v>2</v>
      </c>
      <c r="K348" s="2" t="b">
        <f t="shared" si="27"/>
        <v>0</v>
      </c>
    </row>
    <row r="349" spans="1:11">
      <c r="A349" s="2">
        <v>1</v>
      </c>
      <c r="B349" s="2">
        <v>1</v>
      </c>
      <c r="C349" s="2">
        <v>1</v>
      </c>
      <c r="D349" s="2">
        <v>1</v>
      </c>
      <c r="E349" s="2">
        <v>2</v>
      </c>
      <c r="F349" s="2">
        <v>2</v>
      </c>
      <c r="G349" s="2">
        <v>1</v>
      </c>
      <c r="H349" s="2">
        <v>1</v>
      </c>
      <c r="I349" s="2">
        <v>1</v>
      </c>
      <c r="J349" s="2">
        <v>2</v>
      </c>
      <c r="K349" s="2" t="b">
        <f t="shared" si="27"/>
        <v>0</v>
      </c>
    </row>
    <row r="350" spans="1:11">
      <c r="A350" s="2">
        <v>5</v>
      </c>
      <c r="B350" s="2">
        <v>1</v>
      </c>
      <c r="C350" s="2">
        <v>1</v>
      </c>
      <c r="D350" s="2">
        <v>1</v>
      </c>
      <c r="E350" s="2">
        <v>2</v>
      </c>
      <c r="F350" s="2">
        <v>2</v>
      </c>
      <c r="G350" s="2">
        <v>2</v>
      </c>
      <c r="H350" s="2">
        <v>1</v>
      </c>
      <c r="I350" s="2">
        <v>1</v>
      </c>
      <c r="J350" s="2">
        <v>2</v>
      </c>
      <c r="K350" s="2" t="b">
        <f t="shared" si="27"/>
        <v>0</v>
      </c>
    </row>
    <row r="351" spans="1:11">
      <c r="A351" s="2">
        <v>3</v>
      </c>
      <c r="B351" s="2">
        <v>1</v>
      </c>
      <c r="C351" s="2">
        <v>1</v>
      </c>
      <c r="D351" s="2">
        <v>1</v>
      </c>
      <c r="E351" s="2">
        <v>3</v>
      </c>
      <c r="F351" s="2">
        <v>2</v>
      </c>
      <c r="G351" s="2">
        <v>1</v>
      </c>
      <c r="H351" s="2">
        <v>1</v>
      </c>
      <c r="I351" s="2">
        <v>1</v>
      </c>
      <c r="J351" s="2">
        <v>2</v>
      </c>
      <c r="K351" s="2" t="b">
        <f t="shared" si="27"/>
        <v>0</v>
      </c>
    </row>
    <row r="352" spans="1:11">
      <c r="A352" s="2">
        <v>1</v>
      </c>
      <c r="B352" s="2">
        <v>1</v>
      </c>
      <c r="C352" s="2">
        <v>1</v>
      </c>
      <c r="D352" s="2">
        <v>1</v>
      </c>
      <c r="E352" s="2">
        <v>2</v>
      </c>
      <c r="F352" s="2">
        <v>3</v>
      </c>
      <c r="G352" s="2">
        <v>3</v>
      </c>
      <c r="H352" s="2">
        <v>1</v>
      </c>
      <c r="I352" s="2">
        <v>1</v>
      </c>
      <c r="J352" s="2">
        <v>2</v>
      </c>
      <c r="K352" s="2" t="b">
        <f t="shared" si="27"/>
        <v>0</v>
      </c>
    </row>
    <row r="353" spans="1:11">
      <c r="A353" s="2">
        <v>3</v>
      </c>
      <c r="B353" s="2">
        <v>1</v>
      </c>
      <c r="C353" s="2">
        <v>1</v>
      </c>
      <c r="D353" s="2">
        <v>1</v>
      </c>
      <c r="E353" s="2">
        <v>2</v>
      </c>
      <c r="F353" s="2">
        <v>3</v>
      </c>
      <c r="G353" s="2">
        <v>3</v>
      </c>
      <c r="H353" s="2">
        <v>1</v>
      </c>
      <c r="I353" s="2">
        <v>1</v>
      </c>
      <c r="J353" s="2">
        <v>2</v>
      </c>
      <c r="K353" s="2" t="b">
        <f t="shared" si="27"/>
        <v>0</v>
      </c>
    </row>
    <row r="354" spans="1:11">
      <c r="A354" s="2">
        <v>1</v>
      </c>
      <c r="B354" s="2">
        <v>1</v>
      </c>
      <c r="C354" s="2">
        <v>1</v>
      </c>
      <c r="D354" s="2">
        <v>1</v>
      </c>
      <c r="E354" s="2">
        <v>4</v>
      </c>
      <c r="F354" s="2">
        <v>3</v>
      </c>
      <c r="G354" s="2">
        <v>1</v>
      </c>
      <c r="H354" s="2">
        <v>1</v>
      </c>
      <c r="I354" s="2">
        <v>1</v>
      </c>
      <c r="J354" s="2">
        <v>2</v>
      </c>
      <c r="K354" s="2" t="b">
        <f t="shared" si="27"/>
        <v>0</v>
      </c>
    </row>
    <row r="355" spans="1:11">
      <c r="A355" s="2">
        <v>4</v>
      </c>
      <c r="B355" s="2">
        <v>1</v>
      </c>
      <c r="C355" s="2">
        <v>1</v>
      </c>
      <c r="D355" s="2">
        <v>1</v>
      </c>
      <c r="E355" s="2">
        <v>2</v>
      </c>
      <c r="F355" s="2">
        <v>3</v>
      </c>
      <c r="G355" s="2">
        <v>1</v>
      </c>
      <c r="H355" s="2">
        <v>1</v>
      </c>
      <c r="I355" s="2">
        <v>1</v>
      </c>
      <c r="J355" s="2">
        <v>2</v>
      </c>
      <c r="K355" s="2" t="b">
        <f t="shared" si="27"/>
        <v>0</v>
      </c>
    </row>
    <row r="356" spans="1:11">
      <c r="A356" s="2">
        <v>1</v>
      </c>
      <c r="B356" s="2">
        <v>1</v>
      </c>
      <c r="C356" s="2">
        <v>1</v>
      </c>
      <c r="D356" s="2">
        <v>2</v>
      </c>
      <c r="E356" s="2">
        <v>1</v>
      </c>
      <c r="F356" s="2">
        <v>3</v>
      </c>
      <c r="G356" s="2">
        <v>1</v>
      </c>
      <c r="H356" s="2">
        <v>1</v>
      </c>
      <c r="I356" s="2">
        <v>7</v>
      </c>
      <c r="J356" s="2">
        <v>2</v>
      </c>
      <c r="K356" s="2" t="b">
        <f t="shared" si="27"/>
        <v>0</v>
      </c>
    </row>
    <row r="357" spans="1:11">
      <c r="A357" s="2">
        <v>1</v>
      </c>
      <c r="B357" s="2">
        <v>1</v>
      </c>
      <c r="C357" s="2">
        <v>1</v>
      </c>
      <c r="D357" s="2">
        <v>3</v>
      </c>
      <c r="E357" s="2">
        <v>2</v>
      </c>
      <c r="F357" s="2">
        <v>3</v>
      </c>
      <c r="G357" s="2">
        <v>1</v>
      </c>
      <c r="H357" s="2">
        <v>1</v>
      </c>
      <c r="I357" s="2">
        <v>1</v>
      </c>
      <c r="J357" s="2">
        <v>2</v>
      </c>
      <c r="K357" s="2" t="b">
        <f t="shared" si="27"/>
        <v>0</v>
      </c>
    </row>
    <row r="358" spans="1:11">
      <c r="A358" s="2">
        <v>1</v>
      </c>
      <c r="B358" s="2">
        <v>1</v>
      </c>
      <c r="C358" s="2">
        <v>1</v>
      </c>
      <c r="D358" s="2">
        <v>3</v>
      </c>
      <c r="E358" s="2">
        <v>1</v>
      </c>
      <c r="F358" s="2">
        <v>3</v>
      </c>
      <c r="G358" s="2">
        <v>1</v>
      </c>
      <c r="H358" s="2">
        <v>1</v>
      </c>
      <c r="I358" s="2">
        <v>1</v>
      </c>
      <c r="J358" s="2">
        <v>2</v>
      </c>
      <c r="K358" s="2" t="b">
        <f t="shared" si="27"/>
        <v>0</v>
      </c>
    </row>
    <row r="359" spans="1:11">
      <c r="A359" s="2">
        <v>4</v>
      </c>
      <c r="B359" s="2">
        <v>1</v>
      </c>
      <c r="C359" s="2">
        <v>1</v>
      </c>
      <c r="D359" s="2">
        <v>1</v>
      </c>
      <c r="E359" s="2">
        <v>2</v>
      </c>
      <c r="F359" s="2">
        <v>3</v>
      </c>
      <c r="G359" s="2">
        <v>2</v>
      </c>
      <c r="H359" s="2">
        <v>1</v>
      </c>
      <c r="I359" s="2">
        <v>1</v>
      </c>
      <c r="J359" s="2">
        <v>2</v>
      </c>
      <c r="K359" s="2" t="b">
        <f t="shared" si="27"/>
        <v>0</v>
      </c>
    </row>
    <row r="360" spans="1:11">
      <c r="A360" s="2">
        <v>3</v>
      </c>
      <c r="B360" s="2">
        <v>1</v>
      </c>
      <c r="C360" s="2">
        <v>1</v>
      </c>
      <c r="D360" s="2">
        <v>1</v>
      </c>
      <c r="E360" s="2">
        <v>2</v>
      </c>
      <c r="F360" s="2">
        <v>4</v>
      </c>
      <c r="G360" s="2">
        <v>1</v>
      </c>
      <c r="H360" s="2">
        <v>1</v>
      </c>
      <c r="I360" s="2">
        <v>1</v>
      </c>
      <c r="J360" s="2">
        <v>2</v>
      </c>
      <c r="K360" s="2" t="b">
        <f t="shared" si="27"/>
        <v>0</v>
      </c>
    </row>
    <row r="361" spans="1:11">
      <c r="A361" s="2">
        <v>1</v>
      </c>
      <c r="B361" s="2">
        <v>1</v>
      </c>
      <c r="C361" s="2">
        <v>1</v>
      </c>
      <c r="D361" s="2">
        <v>1</v>
      </c>
      <c r="E361" s="2">
        <v>2</v>
      </c>
      <c r="F361" s="2">
        <v>4</v>
      </c>
      <c r="G361" s="2">
        <v>1</v>
      </c>
      <c r="H361" s="2">
        <v>1</v>
      </c>
      <c r="I361" s="2">
        <v>1</v>
      </c>
      <c r="J361" s="2">
        <v>2</v>
      </c>
      <c r="K361" s="2" t="b">
        <f t="shared" si="27"/>
        <v>0</v>
      </c>
    </row>
    <row r="362" spans="1:11">
      <c r="A362" s="2">
        <v>3</v>
      </c>
      <c r="B362" s="2">
        <v>1</v>
      </c>
      <c r="C362" s="2">
        <v>3</v>
      </c>
      <c r="D362" s="2">
        <v>1</v>
      </c>
      <c r="E362" s="2">
        <v>3</v>
      </c>
      <c r="F362" s="2">
        <v>4</v>
      </c>
      <c r="G362" s="2">
        <v>1</v>
      </c>
      <c r="H362" s="2">
        <v>1</v>
      </c>
      <c r="I362" s="2">
        <v>1</v>
      </c>
      <c r="J362" s="2">
        <v>2</v>
      </c>
      <c r="K362" s="2" t="b">
        <f t="shared" si="27"/>
        <v>0</v>
      </c>
    </row>
    <row r="363" spans="1:11">
      <c r="A363" s="2">
        <v>3</v>
      </c>
      <c r="B363" s="2">
        <v>1</v>
      </c>
      <c r="C363" s="2">
        <v>1</v>
      </c>
      <c r="D363" s="2">
        <v>2</v>
      </c>
      <c r="E363" s="2">
        <v>3</v>
      </c>
      <c r="F363" s="2">
        <v>4</v>
      </c>
      <c r="G363" s="2">
        <v>1</v>
      </c>
      <c r="H363" s="2">
        <v>1</v>
      </c>
      <c r="I363" s="2">
        <v>1</v>
      </c>
      <c r="J363" s="2">
        <v>2</v>
      </c>
      <c r="K363" s="2" t="b">
        <f t="shared" si="27"/>
        <v>0</v>
      </c>
    </row>
    <row r="364" spans="1:11">
      <c r="A364" s="2">
        <v>1</v>
      </c>
      <c r="B364" s="2">
        <v>1</v>
      </c>
      <c r="C364" s="2">
        <v>1</v>
      </c>
      <c r="D364" s="2">
        <v>1</v>
      </c>
      <c r="E364" s="2">
        <v>2</v>
      </c>
      <c r="F364" s="2">
        <v>5</v>
      </c>
      <c r="G364" s="2">
        <v>1</v>
      </c>
      <c r="H364" s="2">
        <v>1</v>
      </c>
      <c r="I364" s="2">
        <v>1</v>
      </c>
      <c r="J364" s="2">
        <v>2</v>
      </c>
      <c r="K364" s="2" t="b">
        <f t="shared" si="27"/>
        <v>0</v>
      </c>
    </row>
    <row r="365" spans="1:11">
      <c r="A365" s="2">
        <v>1</v>
      </c>
      <c r="B365" s="2">
        <v>1</v>
      </c>
      <c r="C365" s="2">
        <v>1</v>
      </c>
      <c r="D365" s="2">
        <v>1</v>
      </c>
      <c r="E365" s="2">
        <v>2</v>
      </c>
      <c r="F365" s="2">
        <v>5</v>
      </c>
      <c r="G365" s="2">
        <v>1</v>
      </c>
      <c r="H365" s="2">
        <v>1</v>
      </c>
      <c r="I365" s="2">
        <v>1</v>
      </c>
      <c r="J365" s="2">
        <v>2</v>
      </c>
      <c r="K365" s="2" t="b">
        <f t="shared" si="27"/>
        <v>0</v>
      </c>
    </row>
    <row r="366" spans="1:11">
      <c r="A366" s="2">
        <v>1</v>
      </c>
      <c r="B366" s="2">
        <v>1</v>
      </c>
      <c r="C366" s="2">
        <v>1</v>
      </c>
      <c r="D366" s="2">
        <v>1</v>
      </c>
      <c r="E366" s="2">
        <v>2</v>
      </c>
      <c r="F366" s="2">
        <v>5</v>
      </c>
      <c r="G366" s="2">
        <v>5</v>
      </c>
      <c r="H366" s="2">
        <v>1</v>
      </c>
      <c r="I366" s="2">
        <v>1</v>
      </c>
      <c r="J366" s="2">
        <v>2</v>
      </c>
      <c r="K366" s="2" t="b">
        <f t="shared" si="27"/>
        <v>0</v>
      </c>
    </row>
    <row r="367" spans="1:11">
      <c r="A367" s="2">
        <v>2</v>
      </c>
      <c r="B367" s="2">
        <v>1</v>
      </c>
      <c r="C367" s="2">
        <v>1</v>
      </c>
      <c r="D367" s="2">
        <v>1</v>
      </c>
      <c r="E367" s="2">
        <v>2</v>
      </c>
      <c r="F367" s="2">
        <v>5</v>
      </c>
      <c r="G367" s="2">
        <v>1</v>
      </c>
      <c r="H367" s="2">
        <v>1</v>
      </c>
      <c r="I367" s="2">
        <v>1</v>
      </c>
      <c r="J367" s="2">
        <v>2</v>
      </c>
      <c r="K367" s="2" t="b">
        <f t="shared" si="27"/>
        <v>0</v>
      </c>
    </row>
    <row r="368" spans="1:11">
      <c r="A368" s="2">
        <v>3</v>
      </c>
      <c r="B368" s="2">
        <v>1</v>
      </c>
      <c r="C368" s="2">
        <v>1</v>
      </c>
      <c r="D368" s="2">
        <v>1</v>
      </c>
      <c r="E368" s="2">
        <v>2</v>
      </c>
      <c r="F368" s="2">
        <v>5</v>
      </c>
      <c r="G368" s="2">
        <v>5</v>
      </c>
      <c r="H368" s="2">
        <v>1</v>
      </c>
      <c r="I368" s="2">
        <v>1</v>
      </c>
      <c r="J368" s="2">
        <v>2</v>
      </c>
      <c r="K368" s="2" t="b">
        <f t="shared" si="27"/>
        <v>0</v>
      </c>
    </row>
    <row r="369" spans="1:11">
      <c r="A369" s="2">
        <v>3</v>
      </c>
      <c r="B369" s="2">
        <v>1</v>
      </c>
      <c r="C369" s="2">
        <v>1</v>
      </c>
      <c r="D369" s="2">
        <v>1</v>
      </c>
      <c r="E369" s="2">
        <v>2</v>
      </c>
      <c r="F369" s="2">
        <v>5</v>
      </c>
      <c r="G369" s="2">
        <v>1</v>
      </c>
      <c r="H369" s="2">
        <v>1</v>
      </c>
      <c r="I369" s="2">
        <v>1</v>
      </c>
      <c r="J369" s="2">
        <v>2</v>
      </c>
      <c r="K369" s="2" t="b">
        <f t="shared" si="27"/>
        <v>0</v>
      </c>
    </row>
    <row r="370" spans="1:11">
      <c r="A370" s="2">
        <v>4</v>
      </c>
      <c r="B370" s="2">
        <v>1</v>
      </c>
      <c r="C370" s="2">
        <v>1</v>
      </c>
      <c r="D370" s="2">
        <v>3</v>
      </c>
      <c r="E370" s="2">
        <v>1</v>
      </c>
      <c r="F370" s="2">
        <v>5</v>
      </c>
      <c r="G370" s="2">
        <v>2</v>
      </c>
      <c r="H370" s="2">
        <v>1</v>
      </c>
      <c r="I370" s="2">
        <v>1</v>
      </c>
      <c r="J370" s="2">
        <v>4</v>
      </c>
      <c r="K370" s="2" t="b">
        <f t="shared" si="27"/>
        <v>1</v>
      </c>
    </row>
    <row r="371" spans="1:11">
      <c r="A371" s="2">
        <v>5</v>
      </c>
      <c r="B371" s="2">
        <v>1</v>
      </c>
      <c r="C371" s="2">
        <v>2</v>
      </c>
      <c r="D371" s="2">
        <v>10</v>
      </c>
      <c r="E371" s="2">
        <v>4</v>
      </c>
      <c r="F371" s="2">
        <v>5</v>
      </c>
      <c r="G371" s="2">
        <v>2</v>
      </c>
      <c r="H371" s="2">
        <v>1</v>
      </c>
      <c r="I371" s="2">
        <v>1</v>
      </c>
      <c r="J371" s="2">
        <v>2</v>
      </c>
      <c r="K371" s="2" t="b">
        <f t="shared" si="27"/>
        <v>0</v>
      </c>
    </row>
    <row r="372" spans="1:11">
      <c r="A372" s="2">
        <v>6</v>
      </c>
      <c r="B372" s="2">
        <v>1</v>
      </c>
      <c r="C372" s="2">
        <v>3</v>
      </c>
      <c r="D372" s="2">
        <v>1</v>
      </c>
      <c r="E372" s="2">
        <v>4</v>
      </c>
      <c r="F372" s="2">
        <v>5</v>
      </c>
      <c r="G372" s="2">
        <v>5</v>
      </c>
      <c r="H372" s="2">
        <v>10</v>
      </c>
      <c r="I372" s="2">
        <v>1</v>
      </c>
      <c r="J372" s="2">
        <v>4</v>
      </c>
      <c r="K372" s="2" t="b">
        <f t="shared" si="27"/>
        <v>1</v>
      </c>
    </row>
    <row r="373" spans="1:11">
      <c r="A373" s="2">
        <v>1</v>
      </c>
      <c r="B373" s="2">
        <v>1</v>
      </c>
      <c r="C373" s="2">
        <v>1</v>
      </c>
      <c r="D373" s="2">
        <v>1</v>
      </c>
      <c r="E373" s="2">
        <v>2</v>
      </c>
      <c r="F373" s="2">
        <v>10</v>
      </c>
      <c r="G373" s="2">
        <v>3</v>
      </c>
      <c r="H373" s="2">
        <v>1</v>
      </c>
      <c r="I373" s="2">
        <v>1</v>
      </c>
      <c r="J373" s="2">
        <v>2</v>
      </c>
      <c r="K373" s="2" t="b">
        <f t="shared" si="27"/>
        <v>0</v>
      </c>
    </row>
    <row r="374" spans="1:11">
      <c r="A374" s="2">
        <v>9</v>
      </c>
      <c r="B374" s="2">
        <v>1</v>
      </c>
      <c r="C374" s="2">
        <v>2</v>
      </c>
      <c r="D374" s="2">
        <v>6</v>
      </c>
      <c r="E374" s="2">
        <v>4</v>
      </c>
      <c r="F374" s="2">
        <v>10</v>
      </c>
      <c r="G374" s="2">
        <v>7</v>
      </c>
      <c r="H374" s="2">
        <v>7</v>
      </c>
      <c r="I374" s="2">
        <v>2</v>
      </c>
      <c r="J374" s="2">
        <v>4</v>
      </c>
      <c r="K374" s="2" t="b">
        <f t="shared" si="27"/>
        <v>1</v>
      </c>
    </row>
    <row r="375" spans="1:11">
      <c r="A375" s="2">
        <v>10</v>
      </c>
      <c r="B375" s="2">
        <v>1</v>
      </c>
      <c r="C375" s="2">
        <v>1</v>
      </c>
      <c r="D375" s="2">
        <v>1</v>
      </c>
      <c r="E375" s="2">
        <v>2</v>
      </c>
      <c r="F375" s="2">
        <v>10</v>
      </c>
      <c r="G375" s="2">
        <v>5</v>
      </c>
      <c r="H375" s="2">
        <v>4</v>
      </c>
      <c r="I375" s="2">
        <v>1</v>
      </c>
      <c r="J375" s="2">
        <v>4</v>
      </c>
      <c r="K375" s="2" t="b">
        <f t="shared" si="27"/>
        <v>1</v>
      </c>
    </row>
    <row r="376" spans="1:11">
      <c r="A376" s="2">
        <v>1</v>
      </c>
      <c r="B376" s="2">
        <v>1</v>
      </c>
      <c r="C376" s="2">
        <v>1</v>
      </c>
      <c r="D376" s="2">
        <v>1</v>
      </c>
      <c r="E376" s="2">
        <v>1</v>
      </c>
      <c r="F376" s="2" t="s">
        <v>8</v>
      </c>
      <c r="G376" s="2">
        <v>2</v>
      </c>
      <c r="H376" s="2">
        <v>1</v>
      </c>
      <c r="I376" s="2">
        <v>1</v>
      </c>
      <c r="J376" s="2">
        <v>2</v>
      </c>
      <c r="K376" s="2" t="b">
        <f t="shared" si="27"/>
        <v>0</v>
      </c>
    </row>
    <row r="377" spans="1:11">
      <c r="A377" s="2">
        <v>1</v>
      </c>
      <c r="B377" s="2">
        <v>1</v>
      </c>
      <c r="C377" s="2">
        <v>3</v>
      </c>
      <c r="D377" s="2">
        <v>1</v>
      </c>
      <c r="E377" s="2">
        <v>2</v>
      </c>
      <c r="F377" s="2" t="s">
        <v>8</v>
      </c>
      <c r="G377" s="2">
        <v>2</v>
      </c>
      <c r="H377" s="2">
        <v>1</v>
      </c>
      <c r="I377" s="2">
        <v>1</v>
      </c>
      <c r="J377" s="2">
        <v>2</v>
      </c>
      <c r="K377" s="2" t="b">
        <f t="shared" si="27"/>
        <v>0</v>
      </c>
    </row>
    <row r="378" spans="1:11">
      <c r="A378" s="2">
        <v>1</v>
      </c>
      <c r="B378" s="2">
        <v>1</v>
      </c>
      <c r="C378" s="2">
        <v>2</v>
      </c>
      <c r="D378" s="2">
        <v>1</v>
      </c>
      <c r="E378" s="2">
        <v>3</v>
      </c>
      <c r="F378" s="2" t="s">
        <v>8</v>
      </c>
      <c r="G378" s="2">
        <v>1</v>
      </c>
      <c r="H378" s="2">
        <v>1</v>
      </c>
      <c r="I378" s="2">
        <v>1</v>
      </c>
      <c r="J378" s="2">
        <v>2</v>
      </c>
      <c r="K378" s="2" t="b">
        <f t="shared" si="27"/>
        <v>0</v>
      </c>
    </row>
    <row r="379" spans="1:11">
      <c r="A379" s="2">
        <v>5</v>
      </c>
      <c r="B379" s="2">
        <v>1</v>
      </c>
      <c r="C379" s="2">
        <v>1</v>
      </c>
      <c r="D379" s="2">
        <v>1</v>
      </c>
      <c r="E379" s="2">
        <v>2</v>
      </c>
      <c r="F379" s="2" t="s">
        <v>8</v>
      </c>
      <c r="G379" s="2">
        <v>3</v>
      </c>
      <c r="H379" s="2">
        <v>1</v>
      </c>
      <c r="I379" s="2">
        <v>1</v>
      </c>
      <c r="J379" s="2">
        <v>2</v>
      </c>
      <c r="K379" s="2" t="b">
        <f t="shared" si="27"/>
        <v>0</v>
      </c>
    </row>
    <row r="380" spans="1:11">
      <c r="A380" s="2">
        <v>3</v>
      </c>
      <c r="B380" s="2">
        <v>1</v>
      </c>
      <c r="C380" s="2">
        <v>4</v>
      </c>
      <c r="D380" s="2">
        <v>1</v>
      </c>
      <c r="E380" s="2">
        <v>2</v>
      </c>
      <c r="F380" s="2" t="s">
        <v>8</v>
      </c>
      <c r="G380" s="2">
        <v>3</v>
      </c>
      <c r="H380" s="2">
        <v>1</v>
      </c>
      <c r="I380" s="2">
        <v>1</v>
      </c>
      <c r="J380" s="2">
        <v>2</v>
      </c>
      <c r="K380" s="2" t="b">
        <f t="shared" si="27"/>
        <v>0</v>
      </c>
    </row>
    <row r="381" spans="1:11">
      <c r="A381" s="2">
        <v>3</v>
      </c>
      <c r="B381" s="2">
        <v>1</v>
      </c>
      <c r="C381" s="2">
        <v>1</v>
      </c>
      <c r="D381" s="2">
        <v>1</v>
      </c>
      <c r="E381" s="2">
        <v>2</v>
      </c>
      <c r="F381" s="2" t="s">
        <v>8</v>
      </c>
      <c r="G381" s="2">
        <v>3</v>
      </c>
      <c r="H381" s="2">
        <v>1</v>
      </c>
      <c r="I381" s="2">
        <v>1</v>
      </c>
      <c r="J381" s="2">
        <v>2</v>
      </c>
      <c r="K381" s="2" t="b">
        <f t="shared" si="27"/>
        <v>0</v>
      </c>
    </row>
    <row r="382" spans="1:11">
      <c r="A382" s="2">
        <v>3</v>
      </c>
      <c r="B382" s="2">
        <v>1</v>
      </c>
      <c r="C382" s="2">
        <v>3</v>
      </c>
      <c r="D382" s="2">
        <v>1</v>
      </c>
      <c r="E382" s="2">
        <v>2</v>
      </c>
      <c r="F382" s="2" t="s">
        <v>8</v>
      </c>
      <c r="G382" s="2">
        <v>2</v>
      </c>
      <c r="H382" s="2">
        <v>1</v>
      </c>
      <c r="I382" s="2">
        <v>1</v>
      </c>
      <c r="J382" s="2">
        <v>2</v>
      </c>
      <c r="K382" s="2" t="b">
        <f t="shared" si="27"/>
        <v>0</v>
      </c>
    </row>
    <row r="383" spans="1:11">
      <c r="A383" s="2">
        <v>1</v>
      </c>
      <c r="B383" s="2">
        <v>1</v>
      </c>
      <c r="C383" s="2">
        <v>1</v>
      </c>
      <c r="D383" s="2">
        <v>1</v>
      </c>
      <c r="E383" s="2">
        <v>2</v>
      </c>
      <c r="F383" s="2" t="s">
        <v>8</v>
      </c>
      <c r="G383" s="2">
        <v>2</v>
      </c>
      <c r="H383" s="2">
        <v>1</v>
      </c>
      <c r="I383" s="2">
        <v>1</v>
      </c>
      <c r="J383" s="2">
        <v>2</v>
      </c>
      <c r="K383" s="2" t="b">
        <f t="shared" si="27"/>
        <v>0</v>
      </c>
    </row>
    <row r="384" spans="1:11">
      <c r="A384" s="2">
        <v>3</v>
      </c>
      <c r="B384" s="2">
        <v>1</v>
      </c>
      <c r="C384" s="2">
        <v>1</v>
      </c>
      <c r="D384" s="2">
        <v>1</v>
      </c>
      <c r="E384" s="2">
        <v>2</v>
      </c>
      <c r="F384" s="2" t="s">
        <v>8</v>
      </c>
      <c r="G384" s="2">
        <v>3</v>
      </c>
      <c r="H384" s="2">
        <v>1</v>
      </c>
      <c r="I384" s="2">
        <v>1</v>
      </c>
      <c r="J384" s="2">
        <v>2</v>
      </c>
      <c r="K384" s="2" t="b">
        <f t="shared" si="27"/>
        <v>0</v>
      </c>
    </row>
    <row r="385" spans="1:11">
      <c r="A385" s="2">
        <v>1</v>
      </c>
      <c r="B385" s="2">
        <v>1</v>
      </c>
      <c r="C385" s="2">
        <v>1</v>
      </c>
      <c r="D385" s="2">
        <v>1</v>
      </c>
      <c r="E385" s="2">
        <v>1</v>
      </c>
      <c r="F385" s="2" t="s">
        <v>8</v>
      </c>
      <c r="G385" s="2">
        <v>2</v>
      </c>
      <c r="H385" s="2">
        <v>1</v>
      </c>
      <c r="I385" s="2">
        <v>1</v>
      </c>
      <c r="J385" s="2">
        <v>2</v>
      </c>
      <c r="K385" s="2" t="b">
        <f t="shared" si="27"/>
        <v>0</v>
      </c>
    </row>
    <row r="386" spans="1:11">
      <c r="A386" s="2">
        <v>1</v>
      </c>
      <c r="B386" s="2">
        <v>1</v>
      </c>
      <c r="C386" s="2">
        <v>1</v>
      </c>
      <c r="D386" s="2">
        <v>1</v>
      </c>
      <c r="E386" s="2">
        <v>1</v>
      </c>
      <c r="F386" s="2" t="s">
        <v>8</v>
      </c>
      <c r="G386" s="2">
        <v>1</v>
      </c>
      <c r="H386" s="2">
        <v>1</v>
      </c>
      <c r="I386" s="2">
        <v>1</v>
      </c>
      <c r="J386" s="2">
        <v>2</v>
      </c>
      <c r="K386" s="2" t="b">
        <f t="shared" si="27"/>
        <v>0</v>
      </c>
    </row>
    <row r="387" spans="1:11">
      <c r="A387" s="2">
        <v>1</v>
      </c>
      <c r="B387" s="2">
        <v>2</v>
      </c>
      <c r="C387" s="2">
        <v>2</v>
      </c>
      <c r="D387" s="2">
        <v>1</v>
      </c>
      <c r="E387" s="2">
        <v>2</v>
      </c>
      <c r="F387" s="2">
        <v>1</v>
      </c>
      <c r="G387" s="2">
        <v>1</v>
      </c>
      <c r="H387" s="2">
        <v>1</v>
      </c>
      <c r="I387" s="2">
        <v>1</v>
      </c>
      <c r="J387" s="2">
        <v>2</v>
      </c>
      <c r="K387" s="2" t="b">
        <f t="shared" ref="K387:K450" si="28">IF(J387=4, TRUE, FALSE)</f>
        <v>0</v>
      </c>
    </row>
    <row r="388" spans="1:11">
      <c r="A388" s="2">
        <v>8</v>
      </c>
      <c r="B388" s="2">
        <v>2</v>
      </c>
      <c r="C388" s="2">
        <v>1</v>
      </c>
      <c r="D388" s="2">
        <v>1</v>
      </c>
      <c r="E388" s="2">
        <v>5</v>
      </c>
      <c r="F388" s="2">
        <v>1</v>
      </c>
      <c r="G388" s="2">
        <v>1</v>
      </c>
      <c r="H388" s="2">
        <v>1</v>
      </c>
      <c r="I388" s="2">
        <v>1</v>
      </c>
      <c r="J388" s="2">
        <v>2</v>
      </c>
      <c r="K388" s="2" t="b">
        <f t="shared" si="28"/>
        <v>0</v>
      </c>
    </row>
    <row r="389" spans="1:11">
      <c r="A389" s="2">
        <v>5</v>
      </c>
      <c r="B389" s="2">
        <v>2</v>
      </c>
      <c r="C389" s="2">
        <v>2</v>
      </c>
      <c r="D389" s="2">
        <v>2</v>
      </c>
      <c r="E389" s="2">
        <v>3</v>
      </c>
      <c r="F389" s="2">
        <v>1</v>
      </c>
      <c r="G389" s="2">
        <v>1</v>
      </c>
      <c r="H389" s="2">
        <v>3</v>
      </c>
      <c r="I389" s="2">
        <v>1</v>
      </c>
      <c r="J389" s="2">
        <v>2</v>
      </c>
      <c r="K389" s="2" t="b">
        <f t="shared" si="28"/>
        <v>0</v>
      </c>
    </row>
    <row r="390" spans="1:11">
      <c r="A390" s="2">
        <v>1</v>
      </c>
      <c r="B390" s="2">
        <v>2</v>
      </c>
      <c r="C390" s="2">
        <v>3</v>
      </c>
      <c r="D390" s="2">
        <v>1</v>
      </c>
      <c r="E390" s="2">
        <v>2</v>
      </c>
      <c r="F390" s="2">
        <v>1</v>
      </c>
      <c r="G390" s="2">
        <v>1</v>
      </c>
      <c r="H390" s="2">
        <v>1</v>
      </c>
      <c r="I390" s="2">
        <v>1</v>
      </c>
      <c r="J390" s="2">
        <v>2</v>
      </c>
      <c r="K390" s="2" t="b">
        <f t="shared" si="28"/>
        <v>0</v>
      </c>
    </row>
    <row r="391" spans="1:11">
      <c r="A391" s="2">
        <v>1</v>
      </c>
      <c r="B391" s="2">
        <v>2</v>
      </c>
      <c r="C391" s="2">
        <v>1</v>
      </c>
      <c r="D391" s="2">
        <v>3</v>
      </c>
      <c r="E391" s="2">
        <v>2</v>
      </c>
      <c r="F391" s="2">
        <v>1</v>
      </c>
      <c r="G391" s="2">
        <v>1</v>
      </c>
      <c r="H391" s="2">
        <v>2</v>
      </c>
      <c r="I391" s="2">
        <v>1</v>
      </c>
      <c r="J391" s="2">
        <v>2</v>
      </c>
      <c r="K391" s="2" t="b">
        <f t="shared" si="28"/>
        <v>0</v>
      </c>
    </row>
    <row r="392" spans="1:11">
      <c r="A392" s="2">
        <v>3</v>
      </c>
      <c r="B392" s="2">
        <v>2</v>
      </c>
      <c r="C392" s="2">
        <v>2</v>
      </c>
      <c r="D392" s="2">
        <v>3</v>
      </c>
      <c r="E392" s="2">
        <v>2</v>
      </c>
      <c r="F392" s="2">
        <v>1</v>
      </c>
      <c r="G392" s="2">
        <v>1</v>
      </c>
      <c r="H392" s="2">
        <v>1</v>
      </c>
      <c r="I392" s="2">
        <v>1</v>
      </c>
      <c r="J392" s="2">
        <v>2</v>
      </c>
      <c r="K392" s="2" t="b">
        <f t="shared" si="28"/>
        <v>0</v>
      </c>
    </row>
    <row r="393" spans="1:11">
      <c r="A393" s="2">
        <v>5</v>
      </c>
      <c r="B393" s="2">
        <v>2</v>
      </c>
      <c r="C393" s="2">
        <v>1</v>
      </c>
      <c r="D393" s="2">
        <v>1</v>
      </c>
      <c r="E393" s="2">
        <v>2</v>
      </c>
      <c r="F393" s="2">
        <v>1</v>
      </c>
      <c r="G393" s="2">
        <v>1</v>
      </c>
      <c r="H393" s="2">
        <v>1</v>
      </c>
      <c r="I393" s="2">
        <v>1</v>
      </c>
      <c r="J393" s="2">
        <v>2</v>
      </c>
      <c r="K393" s="2" t="b">
        <f t="shared" si="28"/>
        <v>0</v>
      </c>
    </row>
    <row r="394" spans="1:11">
      <c r="A394" s="2">
        <v>4</v>
      </c>
      <c r="B394" s="2">
        <v>2</v>
      </c>
      <c r="C394" s="2">
        <v>1</v>
      </c>
      <c r="D394" s="2">
        <v>1</v>
      </c>
      <c r="E394" s="2">
        <v>2</v>
      </c>
      <c r="F394" s="2">
        <v>1</v>
      </c>
      <c r="G394" s="2">
        <v>1</v>
      </c>
      <c r="H394" s="2">
        <v>1</v>
      </c>
      <c r="I394" s="2">
        <v>1</v>
      </c>
      <c r="J394" s="2">
        <v>2</v>
      </c>
      <c r="K394" s="2" t="b">
        <f t="shared" si="28"/>
        <v>0</v>
      </c>
    </row>
    <row r="395" spans="1:11">
      <c r="A395" s="2">
        <v>5</v>
      </c>
      <c r="B395" s="2">
        <v>2</v>
      </c>
      <c r="C395" s="2">
        <v>4</v>
      </c>
      <c r="D395" s="2">
        <v>1</v>
      </c>
      <c r="E395" s="2">
        <v>1</v>
      </c>
      <c r="F395" s="2">
        <v>1</v>
      </c>
      <c r="G395" s="2">
        <v>1</v>
      </c>
      <c r="H395" s="2">
        <v>1</v>
      </c>
      <c r="I395" s="2">
        <v>1</v>
      </c>
      <c r="J395" s="2">
        <v>2</v>
      </c>
      <c r="K395" s="2" t="b">
        <f t="shared" si="28"/>
        <v>0</v>
      </c>
    </row>
    <row r="396" spans="1:11">
      <c r="A396" s="2">
        <v>6</v>
      </c>
      <c r="B396" s="2">
        <v>2</v>
      </c>
      <c r="C396" s="2">
        <v>3</v>
      </c>
      <c r="D396" s="2">
        <v>1</v>
      </c>
      <c r="E396" s="2">
        <v>2</v>
      </c>
      <c r="F396" s="2">
        <v>1</v>
      </c>
      <c r="G396" s="2">
        <v>1</v>
      </c>
      <c r="H396" s="2">
        <v>1</v>
      </c>
      <c r="I396" s="2">
        <v>1</v>
      </c>
      <c r="J396" s="2">
        <v>2</v>
      </c>
      <c r="K396" s="2" t="b">
        <f t="shared" si="28"/>
        <v>0</v>
      </c>
    </row>
    <row r="397" spans="1:11">
      <c r="A397" s="2">
        <v>1</v>
      </c>
      <c r="B397" s="2">
        <v>2</v>
      </c>
      <c r="C397" s="2">
        <v>2</v>
      </c>
      <c r="D397" s="2">
        <v>1</v>
      </c>
      <c r="E397" s="2">
        <v>2</v>
      </c>
      <c r="F397" s="2">
        <v>1</v>
      </c>
      <c r="G397" s="2">
        <v>1</v>
      </c>
      <c r="H397" s="2">
        <v>1</v>
      </c>
      <c r="I397" s="2">
        <v>1</v>
      </c>
      <c r="J397" s="2">
        <v>2</v>
      </c>
      <c r="K397" s="2" t="b">
        <f t="shared" si="28"/>
        <v>0</v>
      </c>
    </row>
    <row r="398" spans="1:11">
      <c r="A398" s="2">
        <v>5</v>
      </c>
      <c r="B398" s="2">
        <v>2</v>
      </c>
      <c r="C398" s="2">
        <v>2</v>
      </c>
      <c r="D398" s="2">
        <v>2</v>
      </c>
      <c r="E398" s="2">
        <v>2</v>
      </c>
      <c r="F398" s="2">
        <v>1</v>
      </c>
      <c r="G398" s="2">
        <v>1</v>
      </c>
      <c r="H398" s="2">
        <v>1</v>
      </c>
      <c r="I398" s="2">
        <v>2</v>
      </c>
      <c r="J398" s="2">
        <v>2</v>
      </c>
      <c r="K398" s="2" t="b">
        <f t="shared" si="28"/>
        <v>0</v>
      </c>
    </row>
    <row r="399" spans="1:11">
      <c r="A399" s="2">
        <v>4</v>
      </c>
      <c r="B399" s="2">
        <v>2</v>
      </c>
      <c r="C399" s="2">
        <v>1</v>
      </c>
      <c r="D399" s="2">
        <v>1</v>
      </c>
      <c r="E399" s="2">
        <v>2</v>
      </c>
      <c r="F399" s="2">
        <v>1</v>
      </c>
      <c r="G399" s="2">
        <v>2</v>
      </c>
      <c r="H399" s="2">
        <v>1</v>
      </c>
      <c r="I399" s="2">
        <v>1</v>
      </c>
      <c r="J399" s="2">
        <v>2</v>
      </c>
      <c r="K399" s="2" t="b">
        <f t="shared" si="28"/>
        <v>0</v>
      </c>
    </row>
    <row r="400" spans="1:11">
      <c r="A400" s="2">
        <v>3</v>
      </c>
      <c r="B400" s="2">
        <v>2</v>
      </c>
      <c r="C400" s="2">
        <v>1</v>
      </c>
      <c r="D400" s="2">
        <v>1</v>
      </c>
      <c r="E400" s="2">
        <v>1</v>
      </c>
      <c r="F400" s="2">
        <v>1</v>
      </c>
      <c r="G400" s="2">
        <v>2</v>
      </c>
      <c r="H400" s="2">
        <v>1</v>
      </c>
      <c r="I400" s="2">
        <v>1</v>
      </c>
      <c r="J400" s="2">
        <v>2</v>
      </c>
      <c r="K400" s="2" t="b">
        <f t="shared" si="28"/>
        <v>0</v>
      </c>
    </row>
    <row r="401" spans="1:11">
      <c r="A401" s="2">
        <v>1</v>
      </c>
      <c r="B401" s="2">
        <v>2</v>
      </c>
      <c r="C401" s="2">
        <v>2</v>
      </c>
      <c r="D401" s="2">
        <v>1</v>
      </c>
      <c r="E401" s="2">
        <v>2</v>
      </c>
      <c r="F401" s="2">
        <v>1</v>
      </c>
      <c r="G401" s="2">
        <v>2</v>
      </c>
      <c r="H401" s="2">
        <v>1</v>
      </c>
      <c r="I401" s="2">
        <v>1</v>
      </c>
      <c r="J401" s="2">
        <v>2</v>
      </c>
      <c r="K401" s="2" t="b">
        <f t="shared" si="28"/>
        <v>0</v>
      </c>
    </row>
    <row r="402" spans="1:11">
      <c r="A402" s="2">
        <v>3</v>
      </c>
      <c r="B402" s="2">
        <v>2</v>
      </c>
      <c r="C402" s="2">
        <v>2</v>
      </c>
      <c r="D402" s="2">
        <v>1</v>
      </c>
      <c r="E402" s="2">
        <v>2</v>
      </c>
      <c r="F402" s="2">
        <v>1</v>
      </c>
      <c r="G402" s="2">
        <v>2</v>
      </c>
      <c r="H402" s="2">
        <v>3</v>
      </c>
      <c r="I402" s="2">
        <v>1</v>
      </c>
      <c r="J402" s="2">
        <v>2</v>
      </c>
      <c r="K402" s="2" t="b">
        <f t="shared" si="28"/>
        <v>0</v>
      </c>
    </row>
    <row r="403" spans="1:11">
      <c r="A403" s="2">
        <v>5</v>
      </c>
      <c r="B403" s="2">
        <v>2</v>
      </c>
      <c r="C403" s="2">
        <v>2</v>
      </c>
      <c r="D403" s="2">
        <v>2</v>
      </c>
      <c r="E403" s="2">
        <v>2</v>
      </c>
      <c r="F403" s="2">
        <v>1</v>
      </c>
      <c r="G403" s="2">
        <v>2</v>
      </c>
      <c r="H403" s="2">
        <v>2</v>
      </c>
      <c r="I403" s="2">
        <v>1</v>
      </c>
      <c r="J403" s="2">
        <v>2</v>
      </c>
      <c r="K403" s="2" t="b">
        <f t="shared" si="28"/>
        <v>0</v>
      </c>
    </row>
    <row r="404" spans="1:11">
      <c r="A404" s="2">
        <v>1</v>
      </c>
      <c r="B404" s="2">
        <v>2</v>
      </c>
      <c r="C404" s="2">
        <v>3</v>
      </c>
      <c r="D404" s="2">
        <v>1</v>
      </c>
      <c r="E404" s="2">
        <v>2</v>
      </c>
      <c r="F404" s="2">
        <v>1</v>
      </c>
      <c r="G404" s="2">
        <v>2</v>
      </c>
      <c r="H404" s="2">
        <v>1</v>
      </c>
      <c r="I404" s="2">
        <v>1</v>
      </c>
      <c r="J404" s="2">
        <v>2</v>
      </c>
      <c r="K404" s="2" t="b">
        <f t="shared" si="28"/>
        <v>0</v>
      </c>
    </row>
    <row r="405" spans="1:11">
      <c r="A405" s="2">
        <v>3</v>
      </c>
      <c r="B405" s="2">
        <v>2</v>
      </c>
      <c r="C405" s="2">
        <v>1</v>
      </c>
      <c r="D405" s="2">
        <v>1</v>
      </c>
      <c r="E405" s="2">
        <v>2</v>
      </c>
      <c r="F405" s="2">
        <v>1</v>
      </c>
      <c r="G405" s="2">
        <v>2</v>
      </c>
      <c r="H405" s="2">
        <v>2</v>
      </c>
      <c r="I405" s="2">
        <v>1</v>
      </c>
      <c r="J405" s="2">
        <v>2</v>
      </c>
      <c r="K405" s="2" t="b">
        <f t="shared" si="28"/>
        <v>0</v>
      </c>
    </row>
    <row r="406" spans="1:11">
      <c r="A406" s="2">
        <v>4</v>
      </c>
      <c r="B406" s="2">
        <v>2</v>
      </c>
      <c r="C406" s="2">
        <v>2</v>
      </c>
      <c r="D406" s="2">
        <v>1</v>
      </c>
      <c r="E406" s="2">
        <v>2</v>
      </c>
      <c r="F406" s="2">
        <v>1</v>
      </c>
      <c r="G406" s="2">
        <v>2</v>
      </c>
      <c r="H406" s="2">
        <v>1</v>
      </c>
      <c r="I406" s="2">
        <v>1</v>
      </c>
      <c r="J406" s="2">
        <v>2</v>
      </c>
      <c r="K406" s="2" t="b">
        <f t="shared" si="28"/>
        <v>0</v>
      </c>
    </row>
    <row r="407" spans="1:11">
      <c r="A407" s="2">
        <v>4</v>
      </c>
      <c r="B407" s="2">
        <v>2</v>
      </c>
      <c r="C407" s="2">
        <v>2</v>
      </c>
      <c r="D407" s="2">
        <v>1</v>
      </c>
      <c r="E407" s="2">
        <v>2</v>
      </c>
      <c r="F407" s="2">
        <v>1</v>
      </c>
      <c r="G407" s="2">
        <v>2</v>
      </c>
      <c r="H407" s="2">
        <v>1</v>
      </c>
      <c r="I407" s="2">
        <v>1</v>
      </c>
      <c r="J407" s="2">
        <v>2</v>
      </c>
      <c r="K407" s="2" t="b">
        <f t="shared" si="28"/>
        <v>0</v>
      </c>
    </row>
    <row r="408" spans="1:11">
      <c r="A408" s="2">
        <v>5</v>
      </c>
      <c r="B408" s="2">
        <v>2</v>
      </c>
      <c r="C408" s="2">
        <v>2</v>
      </c>
      <c r="D408" s="2">
        <v>2</v>
      </c>
      <c r="E408" s="2">
        <v>1</v>
      </c>
      <c r="F408" s="2">
        <v>1</v>
      </c>
      <c r="G408" s="2">
        <v>2</v>
      </c>
      <c r="H408" s="2">
        <v>1</v>
      </c>
      <c r="I408" s="2">
        <v>1</v>
      </c>
      <c r="J408" s="2">
        <v>2</v>
      </c>
      <c r="K408" s="2" t="b">
        <f t="shared" si="28"/>
        <v>0</v>
      </c>
    </row>
    <row r="409" spans="1:11">
      <c r="A409" s="2">
        <v>1</v>
      </c>
      <c r="B409" s="2">
        <v>2</v>
      </c>
      <c r="C409" s="2">
        <v>1</v>
      </c>
      <c r="D409" s="2">
        <v>3</v>
      </c>
      <c r="E409" s="2">
        <v>2</v>
      </c>
      <c r="F409" s="2">
        <v>1</v>
      </c>
      <c r="G409" s="2">
        <v>2</v>
      </c>
      <c r="H409" s="2">
        <v>1</v>
      </c>
      <c r="I409" s="2">
        <v>1</v>
      </c>
      <c r="J409" s="2">
        <v>2</v>
      </c>
      <c r="K409" s="2" t="b">
        <f t="shared" si="28"/>
        <v>0</v>
      </c>
    </row>
    <row r="410" spans="1:11">
      <c r="A410" s="2">
        <v>5</v>
      </c>
      <c r="B410" s="2">
        <v>2</v>
      </c>
      <c r="C410" s="2">
        <v>1</v>
      </c>
      <c r="D410" s="2">
        <v>1</v>
      </c>
      <c r="E410" s="2">
        <v>2</v>
      </c>
      <c r="F410" s="2">
        <v>1</v>
      </c>
      <c r="G410" s="2">
        <v>3</v>
      </c>
      <c r="H410" s="2">
        <v>1</v>
      </c>
      <c r="I410" s="2">
        <v>1</v>
      </c>
      <c r="J410" s="2">
        <v>2</v>
      </c>
      <c r="K410" s="2" t="b">
        <f t="shared" si="28"/>
        <v>0</v>
      </c>
    </row>
    <row r="411" spans="1:11">
      <c r="A411" s="2">
        <v>1</v>
      </c>
      <c r="B411" s="2">
        <v>2</v>
      </c>
      <c r="C411" s="2">
        <v>3</v>
      </c>
      <c r="D411" s="2">
        <v>1</v>
      </c>
      <c r="E411" s="2">
        <v>2</v>
      </c>
      <c r="F411" s="2">
        <v>1</v>
      </c>
      <c r="G411" s="2">
        <v>3</v>
      </c>
      <c r="H411" s="2">
        <v>1</v>
      </c>
      <c r="I411" s="2">
        <v>1</v>
      </c>
      <c r="J411" s="2">
        <v>2</v>
      </c>
      <c r="K411" s="2" t="b">
        <f t="shared" si="28"/>
        <v>0</v>
      </c>
    </row>
    <row r="412" spans="1:11">
      <c r="A412" s="2">
        <v>3</v>
      </c>
      <c r="B412" s="2">
        <v>2</v>
      </c>
      <c r="C412" s="2">
        <v>2</v>
      </c>
      <c r="D412" s="2">
        <v>2</v>
      </c>
      <c r="E412" s="2">
        <v>2</v>
      </c>
      <c r="F412" s="2">
        <v>1</v>
      </c>
      <c r="G412" s="2">
        <v>3</v>
      </c>
      <c r="H412" s="2">
        <v>2</v>
      </c>
      <c r="I412" s="2">
        <v>1</v>
      </c>
      <c r="J412" s="2">
        <v>2</v>
      </c>
      <c r="K412" s="2" t="b">
        <f t="shared" si="28"/>
        <v>0</v>
      </c>
    </row>
    <row r="413" spans="1:11">
      <c r="A413" s="2">
        <v>3</v>
      </c>
      <c r="B413" s="2">
        <v>2</v>
      </c>
      <c r="C413" s="2">
        <v>1</v>
      </c>
      <c r="D413" s="2">
        <v>2</v>
      </c>
      <c r="E413" s="2">
        <v>2</v>
      </c>
      <c r="F413" s="2">
        <v>1</v>
      </c>
      <c r="G413" s="2">
        <v>3</v>
      </c>
      <c r="H413" s="2">
        <v>1</v>
      </c>
      <c r="I413" s="2">
        <v>1</v>
      </c>
      <c r="J413" s="2">
        <v>2</v>
      </c>
      <c r="K413" s="2" t="b">
        <f t="shared" si="28"/>
        <v>0</v>
      </c>
    </row>
    <row r="414" spans="1:11">
      <c r="A414" s="2">
        <v>3</v>
      </c>
      <c r="B414" s="2">
        <v>2</v>
      </c>
      <c r="C414" s="2">
        <v>2</v>
      </c>
      <c r="D414" s="2">
        <v>2</v>
      </c>
      <c r="E414" s="2">
        <v>2</v>
      </c>
      <c r="F414" s="2">
        <v>1</v>
      </c>
      <c r="G414" s="2">
        <v>4</v>
      </c>
      <c r="H414" s="2">
        <v>2</v>
      </c>
      <c r="I414" s="2">
        <v>1</v>
      </c>
      <c r="J414" s="2">
        <v>2</v>
      </c>
      <c r="K414" s="2" t="b">
        <f t="shared" si="28"/>
        <v>0</v>
      </c>
    </row>
    <row r="415" spans="1:11">
      <c r="A415" s="2">
        <v>8</v>
      </c>
      <c r="B415" s="2">
        <v>2</v>
      </c>
      <c r="C415" s="2">
        <v>4</v>
      </c>
      <c r="D415" s="2">
        <v>1</v>
      </c>
      <c r="E415" s="2">
        <v>5</v>
      </c>
      <c r="F415" s="2">
        <v>1</v>
      </c>
      <c r="G415" s="2">
        <v>5</v>
      </c>
      <c r="H415" s="2">
        <v>4</v>
      </c>
      <c r="I415" s="2">
        <v>4</v>
      </c>
      <c r="J415" s="2">
        <v>4</v>
      </c>
      <c r="K415" s="2" t="b">
        <f t="shared" si="28"/>
        <v>1</v>
      </c>
    </row>
    <row r="416" spans="1:11">
      <c r="A416" s="2">
        <v>6</v>
      </c>
      <c r="B416" s="2">
        <v>2</v>
      </c>
      <c r="C416" s="2">
        <v>1</v>
      </c>
      <c r="D416" s="2">
        <v>1</v>
      </c>
      <c r="E416" s="2">
        <v>1</v>
      </c>
      <c r="F416" s="2">
        <v>1</v>
      </c>
      <c r="G416" s="2">
        <v>7</v>
      </c>
      <c r="H416" s="2">
        <v>1</v>
      </c>
      <c r="I416" s="2">
        <v>1</v>
      </c>
      <c r="J416" s="2">
        <v>2</v>
      </c>
      <c r="K416" s="2" t="b">
        <f t="shared" si="28"/>
        <v>0</v>
      </c>
    </row>
    <row r="417" spans="1:11">
      <c r="A417" s="2">
        <v>2</v>
      </c>
      <c r="B417" s="2">
        <v>2</v>
      </c>
      <c r="C417" s="2">
        <v>2</v>
      </c>
      <c r="D417" s="2">
        <v>1</v>
      </c>
      <c r="E417" s="2">
        <v>1</v>
      </c>
      <c r="F417" s="2">
        <v>1</v>
      </c>
      <c r="G417" s="2">
        <v>7</v>
      </c>
      <c r="H417" s="2">
        <v>1</v>
      </c>
      <c r="I417" s="2">
        <v>1</v>
      </c>
      <c r="J417" s="2">
        <v>2</v>
      </c>
      <c r="K417" s="2" t="b">
        <f t="shared" si="28"/>
        <v>0</v>
      </c>
    </row>
    <row r="418" spans="1:11">
      <c r="A418" s="2">
        <v>3</v>
      </c>
      <c r="B418" s="2">
        <v>2</v>
      </c>
      <c r="C418" s="2">
        <v>1</v>
      </c>
      <c r="D418" s="2">
        <v>1</v>
      </c>
      <c r="E418" s="2">
        <v>2</v>
      </c>
      <c r="F418" s="2">
        <v>2</v>
      </c>
      <c r="G418" s="2">
        <v>3</v>
      </c>
      <c r="H418" s="2">
        <v>1</v>
      </c>
      <c r="I418" s="2">
        <v>1</v>
      </c>
      <c r="J418" s="2">
        <v>2</v>
      </c>
      <c r="K418" s="2" t="b">
        <f t="shared" si="28"/>
        <v>0</v>
      </c>
    </row>
    <row r="419" spans="1:11">
      <c r="A419" s="2">
        <v>4</v>
      </c>
      <c r="B419" s="2">
        <v>2</v>
      </c>
      <c r="C419" s="2">
        <v>1</v>
      </c>
      <c r="D419" s="2">
        <v>1</v>
      </c>
      <c r="E419" s="2">
        <v>2</v>
      </c>
      <c r="F419" s="2">
        <v>2</v>
      </c>
      <c r="G419" s="2">
        <v>3</v>
      </c>
      <c r="H419" s="2">
        <v>1</v>
      </c>
      <c r="I419" s="2">
        <v>1</v>
      </c>
      <c r="J419" s="2">
        <v>2</v>
      </c>
      <c r="K419" s="2" t="b">
        <f t="shared" si="28"/>
        <v>0</v>
      </c>
    </row>
    <row r="420" spans="1:11">
      <c r="A420" s="2">
        <v>5</v>
      </c>
      <c r="B420" s="2">
        <v>2</v>
      </c>
      <c r="C420" s="2">
        <v>2</v>
      </c>
      <c r="D420" s="2">
        <v>2</v>
      </c>
      <c r="E420" s="2">
        <v>2</v>
      </c>
      <c r="F420" s="2">
        <v>2</v>
      </c>
      <c r="G420" s="2">
        <v>3</v>
      </c>
      <c r="H420" s="2">
        <v>2</v>
      </c>
      <c r="I420" s="2">
        <v>2</v>
      </c>
      <c r="J420" s="2">
        <v>2</v>
      </c>
      <c r="K420" s="2" t="b">
        <f t="shared" si="28"/>
        <v>0</v>
      </c>
    </row>
    <row r="421" spans="1:11">
      <c r="A421" s="2">
        <v>4</v>
      </c>
      <c r="B421" s="2">
        <v>2</v>
      </c>
      <c r="C421" s="2">
        <v>4</v>
      </c>
      <c r="D421" s="2">
        <v>3</v>
      </c>
      <c r="E421" s="2">
        <v>2</v>
      </c>
      <c r="F421" s="2">
        <v>2</v>
      </c>
      <c r="G421" s="2">
        <v>2</v>
      </c>
      <c r="H421" s="2">
        <v>1</v>
      </c>
      <c r="I421" s="2">
        <v>1</v>
      </c>
      <c r="J421" s="2">
        <v>2</v>
      </c>
      <c r="K421" s="2" t="b">
        <f t="shared" si="28"/>
        <v>0</v>
      </c>
    </row>
    <row r="422" spans="1:11">
      <c r="A422" s="2">
        <v>3</v>
      </c>
      <c r="B422" s="2">
        <v>2</v>
      </c>
      <c r="C422" s="2">
        <v>2</v>
      </c>
      <c r="D422" s="2">
        <v>1</v>
      </c>
      <c r="E422" s="2">
        <v>4</v>
      </c>
      <c r="F422" s="2">
        <v>3</v>
      </c>
      <c r="G422" s="2">
        <v>2</v>
      </c>
      <c r="H422" s="2">
        <v>1</v>
      </c>
      <c r="I422" s="2">
        <v>1</v>
      </c>
      <c r="J422" s="2">
        <v>2</v>
      </c>
      <c r="K422" s="2" t="b">
        <f t="shared" si="28"/>
        <v>0</v>
      </c>
    </row>
    <row r="423" spans="1:11">
      <c r="A423" s="2">
        <v>3</v>
      </c>
      <c r="B423" s="2">
        <v>2</v>
      </c>
      <c r="C423" s="2">
        <v>2</v>
      </c>
      <c r="D423" s="2">
        <v>3</v>
      </c>
      <c r="E423" s="2">
        <v>2</v>
      </c>
      <c r="F423" s="2">
        <v>3</v>
      </c>
      <c r="G423" s="2">
        <v>3</v>
      </c>
      <c r="H423" s="2">
        <v>1</v>
      </c>
      <c r="I423" s="2">
        <v>1</v>
      </c>
      <c r="J423" s="2">
        <v>2</v>
      </c>
      <c r="K423" s="2" t="b">
        <f t="shared" si="28"/>
        <v>0</v>
      </c>
    </row>
    <row r="424" spans="1:11">
      <c r="A424" s="2">
        <v>8</v>
      </c>
      <c r="B424" s="2">
        <v>2</v>
      </c>
      <c r="C424" s="2">
        <v>3</v>
      </c>
      <c r="D424" s="2">
        <v>1</v>
      </c>
      <c r="E424" s="2">
        <v>6</v>
      </c>
      <c r="F424" s="2">
        <v>3</v>
      </c>
      <c r="G424" s="2">
        <v>7</v>
      </c>
      <c r="H424" s="2">
        <v>1</v>
      </c>
      <c r="I424" s="2">
        <v>1</v>
      </c>
      <c r="J424" s="2">
        <v>4</v>
      </c>
      <c r="K424" s="2" t="b">
        <f t="shared" si="28"/>
        <v>1</v>
      </c>
    </row>
    <row r="425" spans="1:11">
      <c r="A425" s="2">
        <v>5</v>
      </c>
      <c r="B425" s="2">
        <v>2</v>
      </c>
      <c r="C425" s="2">
        <v>2</v>
      </c>
      <c r="D425" s="2">
        <v>4</v>
      </c>
      <c r="E425" s="2">
        <v>2</v>
      </c>
      <c r="F425" s="2">
        <v>4</v>
      </c>
      <c r="G425" s="2">
        <v>1</v>
      </c>
      <c r="H425" s="2">
        <v>1</v>
      </c>
      <c r="I425" s="2">
        <v>1</v>
      </c>
      <c r="J425" s="2">
        <v>2</v>
      </c>
      <c r="K425" s="2" t="b">
        <f t="shared" si="28"/>
        <v>0</v>
      </c>
    </row>
    <row r="426" spans="1:11">
      <c r="A426" s="2">
        <v>7</v>
      </c>
      <c r="B426" s="2">
        <v>2</v>
      </c>
      <c r="C426" s="2">
        <v>4</v>
      </c>
      <c r="D426" s="2">
        <v>1</v>
      </c>
      <c r="E426" s="2">
        <v>3</v>
      </c>
      <c r="F426" s="2">
        <v>4</v>
      </c>
      <c r="G426" s="2">
        <v>3</v>
      </c>
      <c r="H426" s="2">
        <v>3</v>
      </c>
      <c r="I426" s="2">
        <v>1</v>
      </c>
      <c r="J426" s="2">
        <v>4</v>
      </c>
      <c r="K426" s="2" t="b">
        <f t="shared" si="28"/>
        <v>1</v>
      </c>
    </row>
    <row r="427" spans="1:11">
      <c r="A427" s="2">
        <v>10</v>
      </c>
      <c r="B427" s="2">
        <v>2</v>
      </c>
      <c r="C427" s="2">
        <v>2</v>
      </c>
      <c r="D427" s="2">
        <v>1</v>
      </c>
      <c r="E427" s="2">
        <v>2</v>
      </c>
      <c r="F427" s="2">
        <v>6</v>
      </c>
      <c r="G427" s="2">
        <v>1</v>
      </c>
      <c r="H427" s="2">
        <v>1</v>
      </c>
      <c r="I427" s="2">
        <v>2</v>
      </c>
      <c r="J427" s="2">
        <v>4</v>
      </c>
      <c r="K427" s="2" t="b">
        <f t="shared" si="28"/>
        <v>1</v>
      </c>
    </row>
    <row r="428" spans="1:11">
      <c r="A428" s="2">
        <v>5</v>
      </c>
      <c r="B428" s="2">
        <v>2</v>
      </c>
      <c r="C428" s="2">
        <v>3</v>
      </c>
      <c r="D428" s="2">
        <v>4</v>
      </c>
      <c r="E428" s="2">
        <v>2</v>
      </c>
      <c r="F428" s="2">
        <v>7</v>
      </c>
      <c r="G428" s="2">
        <v>3</v>
      </c>
      <c r="H428" s="2">
        <v>6</v>
      </c>
      <c r="I428" s="2">
        <v>1</v>
      </c>
      <c r="J428" s="2">
        <v>4</v>
      </c>
      <c r="K428" s="2" t="b">
        <f t="shared" si="28"/>
        <v>1</v>
      </c>
    </row>
    <row r="429" spans="1:11">
      <c r="A429" s="2">
        <v>4</v>
      </c>
      <c r="B429" s="2">
        <v>2</v>
      </c>
      <c r="C429" s="2">
        <v>3</v>
      </c>
      <c r="D429" s="2">
        <v>5</v>
      </c>
      <c r="E429" s="2">
        <v>3</v>
      </c>
      <c r="F429" s="2">
        <v>8</v>
      </c>
      <c r="G429" s="2">
        <v>7</v>
      </c>
      <c r="H429" s="2">
        <v>6</v>
      </c>
      <c r="I429" s="2">
        <v>1</v>
      </c>
      <c r="J429" s="2">
        <v>4</v>
      </c>
      <c r="K429" s="2" t="b">
        <f t="shared" si="28"/>
        <v>1</v>
      </c>
    </row>
    <row r="430" spans="1:11">
      <c r="A430" s="2">
        <v>5</v>
      </c>
      <c r="B430" s="2">
        <v>2</v>
      </c>
      <c r="C430" s="2">
        <v>3</v>
      </c>
      <c r="D430" s="2">
        <v>1</v>
      </c>
      <c r="E430" s="2">
        <v>6</v>
      </c>
      <c r="F430" s="2">
        <v>10</v>
      </c>
      <c r="G430" s="2">
        <v>5</v>
      </c>
      <c r="H430" s="2">
        <v>1</v>
      </c>
      <c r="I430" s="2">
        <v>1</v>
      </c>
      <c r="J430" s="2">
        <v>4</v>
      </c>
      <c r="K430" s="2" t="b">
        <f t="shared" si="28"/>
        <v>1</v>
      </c>
    </row>
    <row r="431" spans="1:11">
      <c r="A431" s="2">
        <v>7</v>
      </c>
      <c r="B431" s="2">
        <v>2</v>
      </c>
      <c r="C431" s="2">
        <v>4</v>
      </c>
      <c r="D431" s="2">
        <v>1</v>
      </c>
      <c r="E431" s="2">
        <v>6</v>
      </c>
      <c r="F431" s="2">
        <v>10</v>
      </c>
      <c r="G431" s="2">
        <v>5</v>
      </c>
      <c r="H431" s="2">
        <v>4</v>
      </c>
      <c r="I431" s="2">
        <v>3</v>
      </c>
      <c r="J431" s="2">
        <v>4</v>
      </c>
      <c r="K431" s="2" t="b">
        <f t="shared" si="28"/>
        <v>1</v>
      </c>
    </row>
    <row r="432" spans="1:11">
      <c r="A432" s="2">
        <v>1</v>
      </c>
      <c r="B432" s="2">
        <v>3</v>
      </c>
      <c r="C432" s="2">
        <v>3</v>
      </c>
      <c r="D432" s="2">
        <v>2</v>
      </c>
      <c r="E432" s="2">
        <v>2</v>
      </c>
      <c r="F432" s="2">
        <v>1</v>
      </c>
      <c r="G432" s="2">
        <v>7</v>
      </c>
      <c r="H432" s="2">
        <v>2</v>
      </c>
      <c r="I432" s="2">
        <v>1</v>
      </c>
      <c r="J432" s="2">
        <v>2</v>
      </c>
      <c r="K432" s="2" t="b">
        <f t="shared" si="28"/>
        <v>0</v>
      </c>
    </row>
    <row r="433" spans="1:11">
      <c r="A433" s="2">
        <v>5</v>
      </c>
      <c r="B433" s="2">
        <v>3</v>
      </c>
      <c r="C433" s="2">
        <v>1</v>
      </c>
      <c r="D433" s="2">
        <v>2</v>
      </c>
      <c r="E433" s="2">
        <v>2</v>
      </c>
      <c r="F433" s="2">
        <v>1</v>
      </c>
      <c r="G433" s="2">
        <v>2</v>
      </c>
      <c r="H433" s="2">
        <v>1</v>
      </c>
      <c r="I433" s="2">
        <v>1</v>
      </c>
      <c r="J433" s="2">
        <v>2</v>
      </c>
      <c r="K433" s="2" t="b">
        <f t="shared" si="28"/>
        <v>0</v>
      </c>
    </row>
    <row r="434" spans="1:11">
      <c r="A434" s="2">
        <v>3</v>
      </c>
      <c r="B434" s="2">
        <v>3</v>
      </c>
      <c r="C434" s="2">
        <v>2</v>
      </c>
      <c r="D434" s="2">
        <v>1</v>
      </c>
      <c r="E434" s="2">
        <v>3</v>
      </c>
      <c r="F434" s="2">
        <v>1</v>
      </c>
      <c r="G434" s="2">
        <v>3</v>
      </c>
      <c r="H434" s="2">
        <v>6</v>
      </c>
      <c r="I434" s="2">
        <v>1</v>
      </c>
      <c r="J434" s="2">
        <v>2</v>
      </c>
      <c r="K434" s="2" t="b">
        <f t="shared" si="28"/>
        <v>0</v>
      </c>
    </row>
    <row r="435" spans="1:11">
      <c r="A435" s="2">
        <v>4</v>
      </c>
      <c r="B435" s="2">
        <v>3</v>
      </c>
      <c r="C435" s="2">
        <v>2</v>
      </c>
      <c r="D435" s="2">
        <v>1</v>
      </c>
      <c r="E435" s="2">
        <v>3</v>
      </c>
      <c r="F435" s="2">
        <v>1</v>
      </c>
      <c r="G435" s="2">
        <v>2</v>
      </c>
      <c r="H435" s="2">
        <v>1</v>
      </c>
      <c r="I435" s="2">
        <v>1</v>
      </c>
      <c r="J435" s="2">
        <v>2</v>
      </c>
      <c r="K435" s="2" t="b">
        <f t="shared" si="28"/>
        <v>0</v>
      </c>
    </row>
    <row r="436" spans="1:11">
      <c r="A436" s="2">
        <v>5</v>
      </c>
      <c r="B436" s="2">
        <v>3</v>
      </c>
      <c r="C436" s="2">
        <v>4</v>
      </c>
      <c r="D436" s="2">
        <v>1</v>
      </c>
      <c r="E436" s="2">
        <v>4</v>
      </c>
      <c r="F436" s="2">
        <v>1</v>
      </c>
      <c r="G436" s="2">
        <v>3</v>
      </c>
      <c r="H436" s="2">
        <v>1</v>
      </c>
      <c r="I436" s="2">
        <v>1</v>
      </c>
      <c r="J436" s="2">
        <v>2</v>
      </c>
      <c r="K436" s="2" t="b">
        <f t="shared" si="28"/>
        <v>0</v>
      </c>
    </row>
    <row r="437" spans="1:11">
      <c r="A437" s="2">
        <v>3</v>
      </c>
      <c r="B437" s="2">
        <v>3</v>
      </c>
      <c r="C437" s="2">
        <v>2</v>
      </c>
      <c r="D437" s="2">
        <v>2</v>
      </c>
      <c r="E437" s="2">
        <v>3</v>
      </c>
      <c r="F437" s="2">
        <v>1</v>
      </c>
      <c r="G437" s="2">
        <v>1</v>
      </c>
      <c r="H437" s="2">
        <v>2</v>
      </c>
      <c r="I437" s="2">
        <v>3</v>
      </c>
      <c r="J437" s="2">
        <v>2</v>
      </c>
      <c r="K437" s="2" t="b">
        <f t="shared" si="28"/>
        <v>0</v>
      </c>
    </row>
    <row r="438" spans="1:11">
      <c r="A438" s="2">
        <v>5</v>
      </c>
      <c r="B438" s="2">
        <v>3</v>
      </c>
      <c r="C438" s="2">
        <v>3</v>
      </c>
      <c r="D438" s="2">
        <v>2</v>
      </c>
      <c r="E438" s="2">
        <v>3</v>
      </c>
      <c r="F438" s="2">
        <v>1</v>
      </c>
      <c r="G438" s="2">
        <v>3</v>
      </c>
      <c r="H438" s="2">
        <v>1</v>
      </c>
      <c r="I438" s="2">
        <v>1</v>
      </c>
      <c r="J438" s="2">
        <v>2</v>
      </c>
      <c r="K438" s="2" t="b">
        <f t="shared" si="28"/>
        <v>0</v>
      </c>
    </row>
    <row r="439" spans="1:11">
      <c r="A439" s="2">
        <v>5</v>
      </c>
      <c r="B439" s="2">
        <v>3</v>
      </c>
      <c r="C439" s="2">
        <v>3</v>
      </c>
      <c r="D439" s="2">
        <v>1</v>
      </c>
      <c r="E439" s="2">
        <v>2</v>
      </c>
      <c r="F439" s="2">
        <v>1</v>
      </c>
      <c r="G439" s="2">
        <v>2</v>
      </c>
      <c r="H439" s="2">
        <v>1</v>
      </c>
      <c r="I439" s="2">
        <v>1</v>
      </c>
      <c r="J439" s="2">
        <v>2</v>
      </c>
      <c r="K439" s="2" t="b">
        <f t="shared" si="28"/>
        <v>0</v>
      </c>
    </row>
    <row r="440" spans="1:11">
      <c r="A440" s="2">
        <v>2</v>
      </c>
      <c r="B440" s="2">
        <v>3</v>
      </c>
      <c r="C440" s="2">
        <v>1</v>
      </c>
      <c r="D440" s="2">
        <v>1</v>
      </c>
      <c r="E440" s="2">
        <v>5</v>
      </c>
      <c r="F440" s="2">
        <v>1</v>
      </c>
      <c r="G440" s="2">
        <v>1</v>
      </c>
      <c r="H440" s="2">
        <v>1</v>
      </c>
      <c r="I440" s="2">
        <v>1</v>
      </c>
      <c r="J440" s="2">
        <v>2</v>
      </c>
      <c r="K440" s="2" t="b">
        <f t="shared" si="28"/>
        <v>0</v>
      </c>
    </row>
    <row r="441" spans="1:11">
      <c r="A441" s="2">
        <v>4</v>
      </c>
      <c r="B441" s="2">
        <v>3</v>
      </c>
      <c r="C441" s="2">
        <v>3</v>
      </c>
      <c r="D441" s="2">
        <v>1</v>
      </c>
      <c r="E441" s="2">
        <v>2</v>
      </c>
      <c r="F441" s="2">
        <v>1</v>
      </c>
      <c r="G441" s="2">
        <v>3</v>
      </c>
      <c r="H441" s="2">
        <v>3</v>
      </c>
      <c r="I441" s="2">
        <v>1</v>
      </c>
      <c r="J441" s="2">
        <v>2</v>
      </c>
      <c r="K441" s="2" t="b">
        <f t="shared" si="28"/>
        <v>0</v>
      </c>
    </row>
    <row r="442" spans="1:11">
      <c r="A442" s="2">
        <v>5</v>
      </c>
      <c r="B442" s="2">
        <v>3</v>
      </c>
      <c r="C442" s="2">
        <v>6</v>
      </c>
      <c r="D442" s="2">
        <v>1</v>
      </c>
      <c r="E442" s="2">
        <v>2</v>
      </c>
      <c r="F442" s="2">
        <v>1</v>
      </c>
      <c r="G442" s="2">
        <v>1</v>
      </c>
      <c r="H442" s="2">
        <v>1</v>
      </c>
      <c r="I442" s="2">
        <v>1</v>
      </c>
      <c r="J442" s="2">
        <v>2</v>
      </c>
      <c r="K442" s="2" t="b">
        <f t="shared" si="28"/>
        <v>0</v>
      </c>
    </row>
    <row r="443" spans="1:11">
      <c r="A443" s="2">
        <v>1</v>
      </c>
      <c r="B443" s="2">
        <v>3</v>
      </c>
      <c r="C443" s="2">
        <v>1</v>
      </c>
      <c r="D443" s="2">
        <v>1</v>
      </c>
      <c r="E443" s="2">
        <v>2</v>
      </c>
      <c r="F443" s="2">
        <v>1</v>
      </c>
      <c r="G443" s="2">
        <v>2</v>
      </c>
      <c r="H443" s="2">
        <v>2</v>
      </c>
      <c r="I443" s="2">
        <v>1</v>
      </c>
      <c r="J443" s="2">
        <v>2</v>
      </c>
      <c r="K443" s="2" t="b">
        <f t="shared" si="28"/>
        <v>0</v>
      </c>
    </row>
    <row r="444" spans="1:11">
      <c r="A444" s="2">
        <v>2</v>
      </c>
      <c r="B444" s="2">
        <v>3</v>
      </c>
      <c r="C444" s="2">
        <v>1</v>
      </c>
      <c r="D444" s="2">
        <v>1</v>
      </c>
      <c r="E444" s="2">
        <v>3</v>
      </c>
      <c r="F444" s="2">
        <v>1</v>
      </c>
      <c r="G444" s="2">
        <v>1</v>
      </c>
      <c r="H444" s="2">
        <v>1</v>
      </c>
      <c r="I444" s="2">
        <v>1</v>
      </c>
      <c r="J444" s="2">
        <v>2</v>
      </c>
      <c r="K444" s="2" t="b">
        <f t="shared" si="28"/>
        <v>0</v>
      </c>
    </row>
    <row r="445" spans="1:11">
      <c r="A445" s="2">
        <v>5</v>
      </c>
      <c r="B445" s="2">
        <v>3</v>
      </c>
      <c r="C445" s="2">
        <v>2</v>
      </c>
      <c r="D445" s="2">
        <v>4</v>
      </c>
      <c r="E445" s="2">
        <v>2</v>
      </c>
      <c r="F445" s="2">
        <v>1</v>
      </c>
      <c r="G445" s="2">
        <v>1</v>
      </c>
      <c r="H445" s="2">
        <v>1</v>
      </c>
      <c r="I445" s="2">
        <v>1</v>
      </c>
      <c r="J445" s="2">
        <v>2</v>
      </c>
      <c r="K445" s="2" t="b">
        <f t="shared" si="28"/>
        <v>0</v>
      </c>
    </row>
    <row r="446" spans="1:11">
      <c r="A446" s="2">
        <v>3</v>
      </c>
      <c r="B446" s="2">
        <v>3</v>
      </c>
      <c r="C446" s="2">
        <v>1</v>
      </c>
      <c r="D446" s="2">
        <v>1</v>
      </c>
      <c r="E446" s="2">
        <v>2</v>
      </c>
      <c r="F446" s="2">
        <v>1</v>
      </c>
      <c r="G446" s="2">
        <v>1</v>
      </c>
      <c r="H446" s="2">
        <v>1</v>
      </c>
      <c r="I446" s="2">
        <v>1</v>
      </c>
      <c r="J446" s="2">
        <v>2</v>
      </c>
      <c r="K446" s="2" t="b">
        <f t="shared" si="28"/>
        <v>0</v>
      </c>
    </row>
    <row r="447" spans="1:11">
      <c r="A447" s="2">
        <v>5</v>
      </c>
      <c r="B447" s="2">
        <v>3</v>
      </c>
      <c r="C447" s="2">
        <v>1</v>
      </c>
      <c r="D447" s="2">
        <v>1</v>
      </c>
      <c r="E447" s="2">
        <v>2</v>
      </c>
      <c r="F447" s="2">
        <v>1</v>
      </c>
      <c r="G447" s="2">
        <v>1</v>
      </c>
      <c r="H447" s="2">
        <v>1</v>
      </c>
      <c r="I447" s="2">
        <v>1</v>
      </c>
      <c r="J447" s="2">
        <v>2</v>
      </c>
      <c r="K447" s="2" t="b">
        <f t="shared" si="28"/>
        <v>0</v>
      </c>
    </row>
    <row r="448" spans="1:11">
      <c r="A448" s="2">
        <v>4</v>
      </c>
      <c r="B448" s="2">
        <v>3</v>
      </c>
      <c r="C448" s="2">
        <v>1</v>
      </c>
      <c r="D448" s="2">
        <v>1</v>
      </c>
      <c r="E448" s="2">
        <v>2</v>
      </c>
      <c r="F448" s="2">
        <v>1</v>
      </c>
      <c r="G448" s="2">
        <v>4</v>
      </c>
      <c r="H448" s="2">
        <v>8</v>
      </c>
      <c r="I448" s="2">
        <v>1</v>
      </c>
      <c r="J448" s="2">
        <v>2</v>
      </c>
      <c r="K448" s="2" t="b">
        <f t="shared" si="28"/>
        <v>0</v>
      </c>
    </row>
    <row r="449" spans="1:11">
      <c r="A449" s="2">
        <v>2</v>
      </c>
      <c r="B449" s="2">
        <v>3</v>
      </c>
      <c r="C449" s="2">
        <v>1</v>
      </c>
      <c r="D449" s="2">
        <v>1</v>
      </c>
      <c r="E449" s="2">
        <v>2</v>
      </c>
      <c r="F449" s="2">
        <v>1</v>
      </c>
      <c r="G449" s="2">
        <v>2</v>
      </c>
      <c r="H449" s="2">
        <v>1</v>
      </c>
      <c r="I449" s="2">
        <v>1</v>
      </c>
      <c r="J449" s="2">
        <v>2</v>
      </c>
      <c r="K449" s="2" t="b">
        <f t="shared" si="28"/>
        <v>0</v>
      </c>
    </row>
    <row r="450" spans="1:11">
      <c r="A450" s="2">
        <v>5</v>
      </c>
      <c r="B450" s="2">
        <v>3</v>
      </c>
      <c r="C450" s="2">
        <v>2</v>
      </c>
      <c r="D450" s="2">
        <v>1</v>
      </c>
      <c r="E450" s="2">
        <v>3</v>
      </c>
      <c r="F450" s="2">
        <v>1</v>
      </c>
      <c r="G450" s="2">
        <v>1</v>
      </c>
      <c r="H450" s="2">
        <v>1</v>
      </c>
      <c r="I450" s="2">
        <v>1</v>
      </c>
      <c r="J450" s="2">
        <v>2</v>
      </c>
      <c r="K450" s="2" t="b">
        <f t="shared" si="28"/>
        <v>0</v>
      </c>
    </row>
    <row r="451" spans="1:11">
      <c r="A451" s="2">
        <v>1</v>
      </c>
      <c r="B451" s="2">
        <v>3</v>
      </c>
      <c r="C451" s="2">
        <v>1</v>
      </c>
      <c r="D451" s="2">
        <v>2</v>
      </c>
      <c r="E451" s="2">
        <v>2</v>
      </c>
      <c r="F451" s="2">
        <v>2</v>
      </c>
      <c r="G451" s="2">
        <v>5</v>
      </c>
      <c r="H451" s="2">
        <v>3</v>
      </c>
      <c r="I451" s="2">
        <v>2</v>
      </c>
      <c r="J451" s="2">
        <v>2</v>
      </c>
      <c r="K451" s="2" t="b">
        <f t="shared" ref="K451:K514" si="29">IF(J451=4, TRUE, FALSE)</f>
        <v>0</v>
      </c>
    </row>
    <row r="452" spans="1:11">
      <c r="A452" s="2">
        <v>2</v>
      </c>
      <c r="B452" s="2">
        <v>3</v>
      </c>
      <c r="C452" s="2">
        <v>2</v>
      </c>
      <c r="D452" s="2">
        <v>2</v>
      </c>
      <c r="E452" s="2">
        <v>2</v>
      </c>
      <c r="F452" s="2">
        <v>2</v>
      </c>
      <c r="G452" s="2">
        <v>3</v>
      </c>
      <c r="H452" s="2">
        <v>1</v>
      </c>
      <c r="I452" s="2">
        <v>1</v>
      </c>
      <c r="J452" s="2">
        <v>2</v>
      </c>
      <c r="K452" s="2" t="b">
        <f t="shared" si="29"/>
        <v>0</v>
      </c>
    </row>
    <row r="453" spans="1:11">
      <c r="A453" s="2">
        <v>6</v>
      </c>
      <c r="B453" s="2">
        <v>3</v>
      </c>
      <c r="C453" s="2">
        <v>3</v>
      </c>
      <c r="D453" s="2">
        <v>3</v>
      </c>
      <c r="E453" s="2">
        <v>3</v>
      </c>
      <c r="F453" s="2">
        <v>2</v>
      </c>
      <c r="G453" s="2">
        <v>6</v>
      </c>
      <c r="H453" s="2">
        <v>1</v>
      </c>
      <c r="I453" s="2">
        <v>1</v>
      </c>
      <c r="J453" s="2">
        <v>2</v>
      </c>
      <c r="K453" s="2" t="b">
        <f t="shared" si="29"/>
        <v>0</v>
      </c>
    </row>
    <row r="454" spans="1:11">
      <c r="A454" s="2">
        <v>8</v>
      </c>
      <c r="B454" s="2">
        <v>3</v>
      </c>
      <c r="C454" s="2">
        <v>3</v>
      </c>
      <c r="D454" s="2">
        <v>1</v>
      </c>
      <c r="E454" s="2">
        <v>2</v>
      </c>
      <c r="F454" s="2">
        <v>2</v>
      </c>
      <c r="G454" s="2">
        <v>3</v>
      </c>
      <c r="H454" s="2">
        <v>2</v>
      </c>
      <c r="I454" s="2">
        <v>1</v>
      </c>
      <c r="J454" s="2">
        <v>2</v>
      </c>
      <c r="K454" s="2" t="b">
        <f t="shared" si="29"/>
        <v>0</v>
      </c>
    </row>
    <row r="455" spans="1:11">
      <c r="A455" s="2">
        <v>6</v>
      </c>
      <c r="B455" s="2">
        <v>3</v>
      </c>
      <c r="C455" s="2">
        <v>4</v>
      </c>
      <c r="D455" s="2">
        <v>1</v>
      </c>
      <c r="E455" s="2">
        <v>5</v>
      </c>
      <c r="F455" s="2">
        <v>2</v>
      </c>
      <c r="G455" s="2">
        <v>3</v>
      </c>
      <c r="H455" s="2">
        <v>9</v>
      </c>
      <c r="I455" s="2">
        <v>1</v>
      </c>
      <c r="J455" s="2">
        <v>4</v>
      </c>
      <c r="K455" s="2" t="b">
        <f t="shared" si="29"/>
        <v>1</v>
      </c>
    </row>
    <row r="456" spans="1:11">
      <c r="A456" s="2">
        <v>3</v>
      </c>
      <c r="B456" s="2">
        <v>3</v>
      </c>
      <c r="C456" s="2">
        <v>2</v>
      </c>
      <c r="D456" s="2">
        <v>1</v>
      </c>
      <c r="E456" s="2">
        <v>2</v>
      </c>
      <c r="F456" s="2">
        <v>3</v>
      </c>
      <c r="G456" s="2">
        <v>3</v>
      </c>
      <c r="H456" s="2">
        <v>1</v>
      </c>
      <c r="I456" s="2">
        <v>1</v>
      </c>
      <c r="J456" s="2">
        <v>2</v>
      </c>
      <c r="K456" s="2" t="b">
        <f t="shared" si="29"/>
        <v>0</v>
      </c>
    </row>
    <row r="457" spans="1:11">
      <c r="A457" s="2">
        <v>3</v>
      </c>
      <c r="B457" s="2">
        <v>3</v>
      </c>
      <c r="C457" s="2">
        <v>2</v>
      </c>
      <c r="D457" s="2">
        <v>6</v>
      </c>
      <c r="E457" s="2">
        <v>3</v>
      </c>
      <c r="F457" s="2">
        <v>3</v>
      </c>
      <c r="G457" s="2">
        <v>3</v>
      </c>
      <c r="H457" s="2">
        <v>5</v>
      </c>
      <c r="I457" s="2">
        <v>1</v>
      </c>
      <c r="J457" s="2">
        <v>2</v>
      </c>
      <c r="K457" s="2" t="b">
        <f t="shared" si="29"/>
        <v>0</v>
      </c>
    </row>
    <row r="458" spans="1:11">
      <c r="A458" s="2">
        <v>5</v>
      </c>
      <c r="B458" s="2">
        <v>3</v>
      </c>
      <c r="C458" s="2">
        <v>3</v>
      </c>
      <c r="D458" s="2">
        <v>3</v>
      </c>
      <c r="E458" s="2">
        <v>2</v>
      </c>
      <c r="F458" s="2">
        <v>3</v>
      </c>
      <c r="G458" s="2">
        <v>4</v>
      </c>
      <c r="H458" s="2">
        <v>4</v>
      </c>
      <c r="I458" s="2">
        <v>1</v>
      </c>
      <c r="J458" s="2">
        <v>4</v>
      </c>
      <c r="K458" s="2" t="b">
        <f t="shared" si="29"/>
        <v>1</v>
      </c>
    </row>
    <row r="459" spans="1:11">
      <c r="A459" s="2">
        <v>5</v>
      </c>
      <c r="B459" s="2">
        <v>3</v>
      </c>
      <c r="C459" s="2">
        <v>5</v>
      </c>
      <c r="D459" s="2">
        <v>5</v>
      </c>
      <c r="E459" s="2">
        <v>3</v>
      </c>
      <c r="F459" s="2">
        <v>3</v>
      </c>
      <c r="G459" s="2">
        <v>4</v>
      </c>
      <c r="H459" s="2">
        <v>10</v>
      </c>
      <c r="I459" s="2">
        <v>1</v>
      </c>
      <c r="J459" s="2">
        <v>4</v>
      </c>
      <c r="K459" s="2" t="b">
        <f t="shared" si="29"/>
        <v>1</v>
      </c>
    </row>
    <row r="460" spans="1:11">
      <c r="A460" s="2">
        <v>5</v>
      </c>
      <c r="B460" s="2">
        <v>3</v>
      </c>
      <c r="C460" s="2">
        <v>3</v>
      </c>
      <c r="D460" s="2">
        <v>1</v>
      </c>
      <c r="E460" s="2">
        <v>3</v>
      </c>
      <c r="F460" s="2">
        <v>3</v>
      </c>
      <c r="G460" s="2">
        <v>3</v>
      </c>
      <c r="H460" s="2">
        <v>3</v>
      </c>
      <c r="I460" s="2">
        <v>3</v>
      </c>
      <c r="J460" s="2">
        <v>4</v>
      </c>
      <c r="K460" s="2" t="b">
        <f t="shared" si="29"/>
        <v>1</v>
      </c>
    </row>
    <row r="461" spans="1:11">
      <c r="A461" s="2">
        <v>7</v>
      </c>
      <c r="B461" s="2">
        <v>3</v>
      </c>
      <c r="C461" s="2">
        <v>4</v>
      </c>
      <c r="D461" s="2">
        <v>4</v>
      </c>
      <c r="E461" s="2">
        <v>3</v>
      </c>
      <c r="F461" s="2">
        <v>3</v>
      </c>
      <c r="G461" s="2">
        <v>3</v>
      </c>
      <c r="H461" s="2">
        <v>2</v>
      </c>
      <c r="I461" s="2">
        <v>7</v>
      </c>
      <c r="J461" s="2">
        <v>4</v>
      </c>
      <c r="K461" s="2" t="b">
        <f t="shared" si="29"/>
        <v>1</v>
      </c>
    </row>
    <row r="462" spans="1:11">
      <c r="A462" s="2">
        <v>5</v>
      </c>
      <c r="B462" s="2">
        <v>3</v>
      </c>
      <c r="C462" s="2">
        <v>3</v>
      </c>
      <c r="D462" s="2">
        <v>4</v>
      </c>
      <c r="E462" s="2">
        <v>2</v>
      </c>
      <c r="F462" s="2">
        <v>4</v>
      </c>
      <c r="G462" s="2">
        <v>3</v>
      </c>
      <c r="H462" s="2">
        <v>4</v>
      </c>
      <c r="I462" s="2">
        <v>1</v>
      </c>
      <c r="J462" s="2">
        <v>4</v>
      </c>
      <c r="K462" s="2" t="b">
        <f t="shared" si="29"/>
        <v>1</v>
      </c>
    </row>
    <row r="463" spans="1:11">
      <c r="A463" s="2">
        <v>6</v>
      </c>
      <c r="B463" s="2">
        <v>3</v>
      </c>
      <c r="C463" s="2">
        <v>2</v>
      </c>
      <c r="D463" s="2">
        <v>1</v>
      </c>
      <c r="E463" s="2">
        <v>3</v>
      </c>
      <c r="F463" s="2">
        <v>4</v>
      </c>
      <c r="G463" s="2">
        <v>4</v>
      </c>
      <c r="H463" s="2">
        <v>1</v>
      </c>
      <c r="I463" s="2">
        <v>1</v>
      </c>
      <c r="J463" s="2">
        <v>4</v>
      </c>
      <c r="K463" s="2" t="b">
        <f t="shared" si="29"/>
        <v>1</v>
      </c>
    </row>
    <row r="464" spans="1:11">
      <c r="A464" s="2">
        <v>2</v>
      </c>
      <c r="B464" s="2">
        <v>3</v>
      </c>
      <c r="C464" s="2">
        <v>4</v>
      </c>
      <c r="D464" s="2">
        <v>4</v>
      </c>
      <c r="E464" s="2">
        <v>2</v>
      </c>
      <c r="F464" s="2">
        <v>5</v>
      </c>
      <c r="G464" s="2">
        <v>2</v>
      </c>
      <c r="H464" s="2">
        <v>5</v>
      </c>
      <c r="I464" s="2">
        <v>1</v>
      </c>
      <c r="J464" s="2">
        <v>4</v>
      </c>
      <c r="K464" s="2" t="b">
        <f t="shared" si="29"/>
        <v>1</v>
      </c>
    </row>
    <row r="465" spans="1:11">
      <c r="A465" s="2">
        <v>5</v>
      </c>
      <c r="B465" s="2">
        <v>3</v>
      </c>
      <c r="C465" s="2">
        <v>4</v>
      </c>
      <c r="D465" s="2">
        <v>3</v>
      </c>
      <c r="E465" s="2">
        <v>4</v>
      </c>
      <c r="F465" s="2">
        <v>5</v>
      </c>
      <c r="G465" s="2">
        <v>4</v>
      </c>
      <c r="H465" s="2">
        <v>7</v>
      </c>
      <c r="I465" s="2">
        <v>1</v>
      </c>
      <c r="J465" s="2">
        <v>2</v>
      </c>
      <c r="K465" s="2" t="b">
        <f t="shared" si="29"/>
        <v>0</v>
      </c>
    </row>
    <row r="466" spans="1:11">
      <c r="A466" s="2">
        <v>10</v>
      </c>
      <c r="B466" s="2">
        <v>3</v>
      </c>
      <c r="C466" s="2">
        <v>6</v>
      </c>
      <c r="D466" s="2">
        <v>2</v>
      </c>
      <c r="E466" s="2">
        <v>3</v>
      </c>
      <c r="F466" s="2">
        <v>5</v>
      </c>
      <c r="G466" s="2">
        <v>4</v>
      </c>
      <c r="H466" s="2">
        <v>10</v>
      </c>
      <c r="I466" s="2">
        <v>2</v>
      </c>
      <c r="J466" s="2">
        <v>4</v>
      </c>
      <c r="K466" s="2" t="b">
        <f t="shared" si="29"/>
        <v>1</v>
      </c>
    </row>
    <row r="467" spans="1:11">
      <c r="A467" s="2">
        <v>10</v>
      </c>
      <c r="B467" s="2">
        <v>3</v>
      </c>
      <c r="C467" s="2">
        <v>5</v>
      </c>
      <c r="D467" s="2">
        <v>1</v>
      </c>
      <c r="E467" s="2">
        <v>10</v>
      </c>
      <c r="F467" s="2">
        <v>5</v>
      </c>
      <c r="G467" s="2">
        <v>3</v>
      </c>
      <c r="H467" s="2">
        <v>10</v>
      </c>
      <c r="I467" s="2">
        <v>2</v>
      </c>
      <c r="J467" s="2">
        <v>4</v>
      </c>
      <c r="K467" s="2" t="b">
        <f t="shared" si="29"/>
        <v>1</v>
      </c>
    </row>
    <row r="468" spans="1:11">
      <c r="A468" s="2">
        <v>10</v>
      </c>
      <c r="B468" s="2">
        <v>3</v>
      </c>
      <c r="C468" s="2">
        <v>5</v>
      </c>
      <c r="D468" s="2">
        <v>4</v>
      </c>
      <c r="E468" s="2">
        <v>3</v>
      </c>
      <c r="F468" s="2">
        <v>7</v>
      </c>
      <c r="G468" s="2">
        <v>3</v>
      </c>
      <c r="H468" s="2">
        <v>5</v>
      </c>
      <c r="I468" s="2">
        <v>3</v>
      </c>
      <c r="J468" s="2">
        <v>4</v>
      </c>
      <c r="K468" s="2" t="b">
        <f t="shared" si="29"/>
        <v>1</v>
      </c>
    </row>
    <row r="469" spans="1:11">
      <c r="A469" s="2">
        <v>3</v>
      </c>
      <c r="B469" s="2">
        <v>3</v>
      </c>
      <c r="C469" s="2">
        <v>6</v>
      </c>
      <c r="D469" s="2">
        <v>4</v>
      </c>
      <c r="E469" s="2">
        <v>5</v>
      </c>
      <c r="F469" s="2">
        <v>8</v>
      </c>
      <c r="G469" s="2">
        <v>4</v>
      </c>
      <c r="H469" s="2">
        <v>4</v>
      </c>
      <c r="I469" s="2">
        <v>1</v>
      </c>
      <c r="J469" s="2">
        <v>4</v>
      </c>
      <c r="K469" s="2" t="b">
        <f t="shared" si="29"/>
        <v>1</v>
      </c>
    </row>
    <row r="470" spans="1:11">
      <c r="A470" s="2">
        <v>8</v>
      </c>
      <c r="B470" s="2">
        <v>3</v>
      </c>
      <c r="C470" s="2">
        <v>8</v>
      </c>
      <c r="D470" s="2">
        <v>3</v>
      </c>
      <c r="E470" s="2">
        <v>4</v>
      </c>
      <c r="F470" s="2">
        <v>9</v>
      </c>
      <c r="G470" s="2">
        <v>8</v>
      </c>
      <c r="H470" s="2">
        <v>9</v>
      </c>
      <c r="I470" s="2">
        <v>8</v>
      </c>
      <c r="J470" s="2">
        <v>4</v>
      </c>
      <c r="K470" s="2" t="b">
        <f t="shared" si="29"/>
        <v>1</v>
      </c>
    </row>
    <row r="471" spans="1:11">
      <c r="A471" s="2">
        <v>3</v>
      </c>
      <c r="B471" s="2">
        <v>3</v>
      </c>
      <c r="C471" s="2">
        <v>5</v>
      </c>
      <c r="D471" s="2">
        <v>2</v>
      </c>
      <c r="E471" s="2">
        <v>3</v>
      </c>
      <c r="F471" s="2">
        <v>10</v>
      </c>
      <c r="G471" s="2">
        <v>7</v>
      </c>
      <c r="H471" s="2">
        <v>1</v>
      </c>
      <c r="I471" s="2">
        <v>1</v>
      </c>
      <c r="J471" s="2">
        <v>4</v>
      </c>
      <c r="K471" s="2" t="b">
        <f t="shared" si="29"/>
        <v>1</v>
      </c>
    </row>
    <row r="472" spans="1:11">
      <c r="A472" s="2">
        <v>3</v>
      </c>
      <c r="B472" s="2">
        <v>3</v>
      </c>
      <c r="C472" s="2">
        <v>5</v>
      </c>
      <c r="D472" s="2">
        <v>2</v>
      </c>
      <c r="E472" s="2">
        <v>3</v>
      </c>
      <c r="F472" s="2">
        <v>10</v>
      </c>
      <c r="G472" s="2">
        <v>7</v>
      </c>
      <c r="H472" s="2">
        <v>1</v>
      </c>
      <c r="I472" s="2">
        <v>1</v>
      </c>
      <c r="J472" s="2">
        <v>4</v>
      </c>
      <c r="K472" s="2" t="b">
        <f t="shared" si="29"/>
        <v>1</v>
      </c>
    </row>
    <row r="473" spans="1:11">
      <c r="A473" s="2">
        <v>5</v>
      </c>
      <c r="B473" s="2">
        <v>3</v>
      </c>
      <c r="C473" s="2">
        <v>4</v>
      </c>
      <c r="D473" s="2">
        <v>1</v>
      </c>
      <c r="E473" s="2">
        <v>8</v>
      </c>
      <c r="F473" s="2">
        <v>10</v>
      </c>
      <c r="G473" s="2">
        <v>4</v>
      </c>
      <c r="H473" s="2">
        <v>9</v>
      </c>
      <c r="I473" s="2">
        <v>1</v>
      </c>
      <c r="J473" s="2">
        <v>4</v>
      </c>
      <c r="K473" s="2" t="b">
        <f t="shared" si="29"/>
        <v>1</v>
      </c>
    </row>
    <row r="474" spans="1:11">
      <c r="A474" s="2">
        <v>5</v>
      </c>
      <c r="B474" s="2">
        <v>3</v>
      </c>
      <c r="C474" s="2">
        <v>5</v>
      </c>
      <c r="D474" s="2">
        <v>1</v>
      </c>
      <c r="E474" s="2">
        <v>8</v>
      </c>
      <c r="F474" s="2">
        <v>10</v>
      </c>
      <c r="G474" s="2">
        <v>5</v>
      </c>
      <c r="H474" s="2">
        <v>3</v>
      </c>
      <c r="I474" s="2">
        <v>1</v>
      </c>
      <c r="J474" s="2">
        <v>4</v>
      </c>
      <c r="K474" s="2" t="b">
        <f t="shared" si="29"/>
        <v>1</v>
      </c>
    </row>
    <row r="475" spans="1:11">
      <c r="A475" s="2">
        <v>5</v>
      </c>
      <c r="B475" s="2">
        <v>3</v>
      </c>
      <c r="C475" s="2">
        <v>3</v>
      </c>
      <c r="D475" s="2">
        <v>3</v>
      </c>
      <c r="E475" s="2">
        <v>6</v>
      </c>
      <c r="F475" s="2">
        <v>10</v>
      </c>
      <c r="G475" s="2">
        <v>3</v>
      </c>
      <c r="H475" s="2">
        <v>1</v>
      </c>
      <c r="I475" s="2">
        <v>1</v>
      </c>
      <c r="J475" s="2">
        <v>4</v>
      </c>
      <c r="K475" s="2" t="b">
        <f t="shared" si="29"/>
        <v>1</v>
      </c>
    </row>
    <row r="476" spans="1:11">
      <c r="A476" s="2">
        <v>5</v>
      </c>
      <c r="B476" s="2">
        <v>3</v>
      </c>
      <c r="C476" s="2">
        <v>2</v>
      </c>
      <c r="D476" s="2">
        <v>8</v>
      </c>
      <c r="E476" s="2">
        <v>5</v>
      </c>
      <c r="F476" s="2">
        <v>10</v>
      </c>
      <c r="G476" s="2">
        <v>8</v>
      </c>
      <c r="H476" s="2">
        <v>1</v>
      </c>
      <c r="I476" s="2">
        <v>2</v>
      </c>
      <c r="J476" s="2">
        <v>4</v>
      </c>
      <c r="K476" s="2" t="b">
        <f t="shared" si="29"/>
        <v>1</v>
      </c>
    </row>
    <row r="477" spans="1:11">
      <c r="A477" s="2">
        <v>6</v>
      </c>
      <c r="B477" s="2">
        <v>3</v>
      </c>
      <c r="C477" s="2">
        <v>3</v>
      </c>
      <c r="D477" s="2">
        <v>5</v>
      </c>
      <c r="E477" s="2">
        <v>3</v>
      </c>
      <c r="F477" s="2">
        <v>10</v>
      </c>
      <c r="G477" s="2">
        <v>3</v>
      </c>
      <c r="H477" s="2">
        <v>5</v>
      </c>
      <c r="I477" s="2">
        <v>3</v>
      </c>
      <c r="J477" s="2">
        <v>2</v>
      </c>
      <c r="K477" s="2" t="b">
        <f t="shared" si="29"/>
        <v>0</v>
      </c>
    </row>
    <row r="478" spans="1:11">
      <c r="A478" s="2">
        <v>7</v>
      </c>
      <c r="B478" s="2">
        <v>3</v>
      </c>
      <c r="C478" s="2">
        <v>2</v>
      </c>
      <c r="D478" s="2">
        <v>10</v>
      </c>
      <c r="E478" s="2">
        <v>5</v>
      </c>
      <c r="F478" s="2">
        <v>10</v>
      </c>
      <c r="G478" s="2">
        <v>5</v>
      </c>
      <c r="H478" s="2">
        <v>4</v>
      </c>
      <c r="I478" s="2">
        <v>4</v>
      </c>
      <c r="J478" s="2">
        <v>4</v>
      </c>
      <c r="K478" s="2" t="b">
        <f t="shared" si="29"/>
        <v>1</v>
      </c>
    </row>
    <row r="479" spans="1:11">
      <c r="A479" s="2">
        <v>8</v>
      </c>
      <c r="B479" s="2">
        <v>3</v>
      </c>
      <c r="C479" s="2">
        <v>5</v>
      </c>
      <c r="D479" s="2">
        <v>4</v>
      </c>
      <c r="E479" s="2">
        <v>5</v>
      </c>
      <c r="F479" s="2">
        <v>10</v>
      </c>
      <c r="G479" s="2">
        <v>1</v>
      </c>
      <c r="H479" s="2">
        <v>6</v>
      </c>
      <c r="I479" s="2">
        <v>2</v>
      </c>
      <c r="J479" s="2">
        <v>4</v>
      </c>
      <c r="K479" s="2" t="b">
        <f t="shared" si="29"/>
        <v>1</v>
      </c>
    </row>
    <row r="480" spans="1:11">
      <c r="A480" s="2">
        <v>8</v>
      </c>
      <c r="B480" s="2">
        <v>3</v>
      </c>
      <c r="C480" s="2">
        <v>4</v>
      </c>
      <c r="D480" s="2">
        <v>9</v>
      </c>
      <c r="E480" s="2">
        <v>3</v>
      </c>
      <c r="F480" s="2">
        <v>10</v>
      </c>
      <c r="G480" s="2">
        <v>3</v>
      </c>
      <c r="H480" s="2">
        <v>3</v>
      </c>
      <c r="I480" s="2">
        <v>1</v>
      </c>
      <c r="J480" s="2">
        <v>4</v>
      </c>
      <c r="K480" s="2" t="b">
        <f t="shared" si="29"/>
        <v>1</v>
      </c>
    </row>
    <row r="481" spans="1:11">
      <c r="A481" s="2">
        <v>10</v>
      </c>
      <c r="B481" s="2">
        <v>3</v>
      </c>
      <c r="C481" s="2">
        <v>3</v>
      </c>
      <c r="D481" s="2">
        <v>10</v>
      </c>
      <c r="E481" s="2">
        <v>2</v>
      </c>
      <c r="F481" s="2">
        <v>10</v>
      </c>
      <c r="G481" s="2">
        <v>7</v>
      </c>
      <c r="H481" s="2">
        <v>3</v>
      </c>
      <c r="I481" s="2">
        <v>3</v>
      </c>
      <c r="J481" s="2">
        <v>4</v>
      </c>
      <c r="K481" s="2" t="b">
        <f t="shared" si="29"/>
        <v>1</v>
      </c>
    </row>
    <row r="482" spans="1:11">
      <c r="A482" s="2">
        <v>10</v>
      </c>
      <c r="B482" s="2">
        <v>3</v>
      </c>
      <c r="C482" s="2">
        <v>3</v>
      </c>
      <c r="D482" s="2">
        <v>1</v>
      </c>
      <c r="E482" s="2">
        <v>2</v>
      </c>
      <c r="F482" s="2">
        <v>10</v>
      </c>
      <c r="G482" s="2">
        <v>7</v>
      </c>
      <c r="H482" s="2">
        <v>6</v>
      </c>
      <c r="I482" s="2">
        <v>1</v>
      </c>
      <c r="J482" s="2">
        <v>4</v>
      </c>
      <c r="K482" s="2" t="b">
        <f t="shared" si="29"/>
        <v>1</v>
      </c>
    </row>
    <row r="483" spans="1:11">
      <c r="A483" s="2">
        <v>10</v>
      </c>
      <c r="B483" s="2">
        <v>3</v>
      </c>
      <c r="C483" s="2">
        <v>4</v>
      </c>
      <c r="D483" s="2">
        <v>5</v>
      </c>
      <c r="E483" s="2">
        <v>3</v>
      </c>
      <c r="F483" s="2">
        <v>10</v>
      </c>
      <c r="G483" s="2">
        <v>4</v>
      </c>
      <c r="H483" s="2">
        <v>1</v>
      </c>
      <c r="I483" s="2">
        <v>1</v>
      </c>
      <c r="J483" s="2">
        <v>4</v>
      </c>
      <c r="K483" s="2" t="b">
        <f t="shared" si="29"/>
        <v>1</v>
      </c>
    </row>
    <row r="484" spans="1:11">
      <c r="A484" s="2">
        <v>1</v>
      </c>
      <c r="B484" s="2">
        <v>4</v>
      </c>
      <c r="C484" s="2">
        <v>3</v>
      </c>
      <c r="D484" s="2">
        <v>10</v>
      </c>
      <c r="E484" s="2">
        <v>4</v>
      </c>
      <c r="F484" s="2">
        <v>10</v>
      </c>
      <c r="G484" s="2">
        <v>5</v>
      </c>
      <c r="H484" s="2">
        <v>6</v>
      </c>
      <c r="I484" s="2">
        <v>1</v>
      </c>
      <c r="J484" s="2">
        <v>4</v>
      </c>
      <c r="K484" s="2" t="b">
        <f t="shared" si="29"/>
        <v>1</v>
      </c>
    </row>
    <row r="485" spans="1:11">
      <c r="A485" s="2">
        <v>3</v>
      </c>
      <c r="B485" s="2">
        <v>4</v>
      </c>
      <c r="C485" s="2">
        <v>5</v>
      </c>
      <c r="D485" s="2">
        <v>2</v>
      </c>
      <c r="E485" s="2">
        <v>6</v>
      </c>
      <c r="F485" s="2">
        <v>8</v>
      </c>
      <c r="G485" s="2">
        <v>4</v>
      </c>
      <c r="H485" s="2">
        <v>1</v>
      </c>
      <c r="I485" s="2">
        <v>1</v>
      </c>
      <c r="J485" s="2">
        <v>4</v>
      </c>
      <c r="K485" s="2" t="b">
        <f t="shared" si="29"/>
        <v>1</v>
      </c>
    </row>
    <row r="486" spans="1:11">
      <c r="A486" s="2">
        <v>3</v>
      </c>
      <c r="B486" s="2">
        <v>4</v>
      </c>
      <c r="C486" s="2">
        <v>5</v>
      </c>
      <c r="D486" s="2">
        <v>3</v>
      </c>
      <c r="E486" s="2">
        <v>7</v>
      </c>
      <c r="F486" s="2">
        <v>3</v>
      </c>
      <c r="G486" s="2">
        <v>4</v>
      </c>
      <c r="H486" s="2">
        <v>6</v>
      </c>
      <c r="I486" s="2">
        <v>1</v>
      </c>
      <c r="J486" s="2">
        <v>2</v>
      </c>
      <c r="K486" s="2" t="b">
        <f t="shared" si="29"/>
        <v>0</v>
      </c>
    </row>
    <row r="487" spans="1:11">
      <c r="A487" s="2">
        <v>3</v>
      </c>
      <c r="B487" s="2">
        <v>4</v>
      </c>
      <c r="C487" s="2">
        <v>4</v>
      </c>
      <c r="D487" s="2">
        <v>10</v>
      </c>
      <c r="E487" s="2">
        <v>5</v>
      </c>
      <c r="F487" s="2">
        <v>1</v>
      </c>
      <c r="G487" s="2">
        <v>3</v>
      </c>
      <c r="H487" s="2">
        <v>3</v>
      </c>
      <c r="I487" s="2">
        <v>1</v>
      </c>
      <c r="J487" s="2">
        <v>4</v>
      </c>
      <c r="K487" s="2" t="b">
        <f t="shared" si="29"/>
        <v>1</v>
      </c>
    </row>
    <row r="488" spans="1:11">
      <c r="A488" s="2">
        <v>4</v>
      </c>
      <c r="B488" s="2">
        <v>4</v>
      </c>
      <c r="C488" s="2">
        <v>4</v>
      </c>
      <c r="D488" s="2">
        <v>2</v>
      </c>
      <c r="E488" s="2">
        <v>2</v>
      </c>
      <c r="F488" s="2">
        <v>3</v>
      </c>
      <c r="G488" s="2">
        <v>2</v>
      </c>
      <c r="H488" s="2">
        <v>1</v>
      </c>
      <c r="I488" s="2">
        <v>1</v>
      </c>
      <c r="J488" s="2">
        <v>2</v>
      </c>
      <c r="K488" s="2" t="b">
        <f t="shared" si="29"/>
        <v>0</v>
      </c>
    </row>
    <row r="489" spans="1:11">
      <c r="A489" s="2">
        <v>4</v>
      </c>
      <c r="B489" s="2">
        <v>4</v>
      </c>
      <c r="C489" s="2">
        <v>4</v>
      </c>
      <c r="D489" s="2">
        <v>4</v>
      </c>
      <c r="E489" s="2">
        <v>6</v>
      </c>
      <c r="F489" s="2">
        <v>5</v>
      </c>
      <c r="G489" s="2">
        <v>7</v>
      </c>
      <c r="H489" s="2">
        <v>3</v>
      </c>
      <c r="I489" s="2">
        <v>1</v>
      </c>
      <c r="J489" s="2">
        <v>2</v>
      </c>
      <c r="K489" s="2" t="b">
        <f t="shared" si="29"/>
        <v>0</v>
      </c>
    </row>
    <row r="490" spans="1:11">
      <c r="A490" s="2">
        <v>4</v>
      </c>
      <c r="B490" s="2">
        <v>4</v>
      </c>
      <c r="C490" s="2">
        <v>2</v>
      </c>
      <c r="D490" s="2">
        <v>1</v>
      </c>
      <c r="E490" s="2">
        <v>2</v>
      </c>
      <c r="F490" s="2">
        <v>5</v>
      </c>
      <c r="G490" s="2">
        <v>2</v>
      </c>
      <c r="H490" s="2">
        <v>1</v>
      </c>
      <c r="I490" s="2">
        <v>2</v>
      </c>
      <c r="J490" s="2">
        <v>2</v>
      </c>
      <c r="K490" s="2" t="b">
        <f t="shared" si="29"/>
        <v>0</v>
      </c>
    </row>
    <row r="491" spans="1:11">
      <c r="A491" s="2">
        <v>5</v>
      </c>
      <c r="B491" s="2">
        <v>4</v>
      </c>
      <c r="C491" s="2">
        <v>5</v>
      </c>
      <c r="D491" s="2">
        <v>1</v>
      </c>
      <c r="E491" s="2">
        <v>8</v>
      </c>
      <c r="F491" s="2">
        <v>1</v>
      </c>
      <c r="G491" s="2">
        <v>3</v>
      </c>
      <c r="H491" s="2">
        <v>6</v>
      </c>
      <c r="I491" s="2">
        <v>1</v>
      </c>
      <c r="J491" s="2">
        <v>2</v>
      </c>
      <c r="K491" s="2" t="b">
        <f t="shared" si="29"/>
        <v>0</v>
      </c>
    </row>
    <row r="492" spans="1:11">
      <c r="A492" s="2">
        <v>5</v>
      </c>
      <c r="B492" s="2">
        <v>4</v>
      </c>
      <c r="C492" s="2">
        <v>3</v>
      </c>
      <c r="D492" s="2">
        <v>1</v>
      </c>
      <c r="E492" s="2">
        <v>2</v>
      </c>
      <c r="F492" s="2" t="s">
        <v>8</v>
      </c>
      <c r="G492" s="2">
        <v>2</v>
      </c>
      <c r="H492" s="2">
        <v>3</v>
      </c>
      <c r="I492" s="2">
        <v>1</v>
      </c>
      <c r="J492" s="2">
        <v>2</v>
      </c>
      <c r="K492" s="2" t="b">
        <f t="shared" si="29"/>
        <v>0</v>
      </c>
    </row>
    <row r="493" spans="1:11">
      <c r="A493" s="2">
        <v>5</v>
      </c>
      <c r="B493" s="2">
        <v>4</v>
      </c>
      <c r="C493" s="2">
        <v>4</v>
      </c>
      <c r="D493" s="2">
        <v>5</v>
      </c>
      <c r="E493" s="2">
        <v>7</v>
      </c>
      <c r="F493" s="2">
        <v>10</v>
      </c>
      <c r="G493" s="2">
        <v>3</v>
      </c>
      <c r="H493" s="2">
        <v>2</v>
      </c>
      <c r="I493" s="2">
        <v>1</v>
      </c>
      <c r="J493" s="2">
        <v>2</v>
      </c>
      <c r="K493" s="2" t="b">
        <f t="shared" si="29"/>
        <v>0</v>
      </c>
    </row>
    <row r="494" spans="1:11">
      <c r="A494" s="2">
        <v>5</v>
      </c>
      <c r="B494" s="2">
        <v>4</v>
      </c>
      <c r="C494" s="2">
        <v>6</v>
      </c>
      <c r="D494" s="2">
        <v>6</v>
      </c>
      <c r="E494" s="2">
        <v>4</v>
      </c>
      <c r="F494" s="2">
        <v>10</v>
      </c>
      <c r="G494" s="2">
        <v>4</v>
      </c>
      <c r="H494" s="2">
        <v>3</v>
      </c>
      <c r="I494" s="2">
        <v>1</v>
      </c>
      <c r="J494" s="2">
        <v>4</v>
      </c>
      <c r="K494" s="2" t="b">
        <f t="shared" si="29"/>
        <v>1</v>
      </c>
    </row>
    <row r="495" spans="1:11">
      <c r="A495" s="2">
        <v>5</v>
      </c>
      <c r="B495" s="2">
        <v>4</v>
      </c>
      <c r="C495" s="2">
        <v>6</v>
      </c>
      <c r="D495" s="2">
        <v>7</v>
      </c>
      <c r="E495" s="2">
        <v>9</v>
      </c>
      <c r="F495" s="2">
        <v>7</v>
      </c>
      <c r="G495" s="2">
        <v>8</v>
      </c>
      <c r="H495" s="2">
        <v>10</v>
      </c>
      <c r="I495" s="2">
        <v>1</v>
      </c>
      <c r="J495" s="2">
        <v>4</v>
      </c>
      <c r="K495" s="2" t="b">
        <f t="shared" si="29"/>
        <v>1</v>
      </c>
    </row>
    <row r="496" spans="1:11">
      <c r="A496" s="2">
        <v>5</v>
      </c>
      <c r="B496" s="2">
        <v>4</v>
      </c>
      <c r="C496" s="2">
        <v>6</v>
      </c>
      <c r="D496" s="2">
        <v>8</v>
      </c>
      <c r="E496" s="2">
        <v>4</v>
      </c>
      <c r="F496" s="2">
        <v>1</v>
      </c>
      <c r="G496" s="2">
        <v>8</v>
      </c>
      <c r="H496" s="2">
        <v>10</v>
      </c>
      <c r="I496" s="2">
        <v>1</v>
      </c>
      <c r="J496" s="2">
        <v>4</v>
      </c>
      <c r="K496" s="2" t="b">
        <f t="shared" si="29"/>
        <v>1</v>
      </c>
    </row>
    <row r="497" spans="1:11">
      <c r="A497" s="2">
        <v>5</v>
      </c>
      <c r="B497" s="2">
        <v>4</v>
      </c>
      <c r="C497" s="2">
        <v>4</v>
      </c>
      <c r="D497" s="2">
        <v>9</v>
      </c>
      <c r="E497" s="2">
        <v>2</v>
      </c>
      <c r="F497" s="2">
        <v>10</v>
      </c>
      <c r="G497" s="2">
        <v>5</v>
      </c>
      <c r="H497" s="2">
        <v>6</v>
      </c>
      <c r="I497" s="2">
        <v>1</v>
      </c>
      <c r="J497" s="2">
        <v>4</v>
      </c>
      <c r="K497" s="2" t="b">
        <f t="shared" si="29"/>
        <v>1</v>
      </c>
    </row>
    <row r="498" spans="1:11">
      <c r="A498" s="2">
        <v>5</v>
      </c>
      <c r="B498" s="2">
        <v>4</v>
      </c>
      <c r="C498" s="2">
        <v>6</v>
      </c>
      <c r="D498" s="2">
        <v>10</v>
      </c>
      <c r="E498" s="2">
        <v>2</v>
      </c>
      <c r="F498" s="2">
        <v>10</v>
      </c>
      <c r="G498" s="2">
        <v>4</v>
      </c>
      <c r="H498" s="2">
        <v>1</v>
      </c>
      <c r="I498" s="2">
        <v>1</v>
      </c>
      <c r="J498" s="2">
        <v>4</v>
      </c>
      <c r="K498" s="2" t="b">
        <f t="shared" si="29"/>
        <v>1</v>
      </c>
    </row>
    <row r="499" spans="1:11">
      <c r="A499" s="2">
        <v>7</v>
      </c>
      <c r="B499" s="2">
        <v>4</v>
      </c>
      <c r="C499" s="2">
        <v>6</v>
      </c>
      <c r="D499" s="2">
        <v>4</v>
      </c>
      <c r="E499" s="2">
        <v>6</v>
      </c>
      <c r="F499" s="2">
        <v>1</v>
      </c>
      <c r="G499" s="2">
        <v>4</v>
      </c>
      <c r="H499" s="2">
        <v>3</v>
      </c>
      <c r="I499" s="2">
        <v>1</v>
      </c>
      <c r="J499" s="2">
        <v>4</v>
      </c>
      <c r="K499" s="2" t="b">
        <f t="shared" si="29"/>
        <v>1</v>
      </c>
    </row>
    <row r="500" spans="1:11">
      <c r="A500" s="2">
        <v>7</v>
      </c>
      <c r="B500" s="2">
        <v>4</v>
      </c>
      <c r="C500" s="2">
        <v>7</v>
      </c>
      <c r="D500" s="2">
        <v>4</v>
      </c>
      <c r="E500" s="2">
        <v>3</v>
      </c>
      <c r="F500" s="2">
        <v>7</v>
      </c>
      <c r="G500" s="2">
        <v>7</v>
      </c>
      <c r="H500" s="2">
        <v>6</v>
      </c>
      <c r="I500" s="2">
        <v>1</v>
      </c>
      <c r="J500" s="2">
        <v>4</v>
      </c>
      <c r="K500" s="2" t="b">
        <f t="shared" si="29"/>
        <v>1</v>
      </c>
    </row>
    <row r="501" spans="1:11">
      <c r="A501" s="2">
        <v>7</v>
      </c>
      <c r="B501" s="2">
        <v>4</v>
      </c>
      <c r="C501" s="2">
        <v>5</v>
      </c>
      <c r="D501" s="2">
        <v>10</v>
      </c>
      <c r="E501" s="2">
        <v>2</v>
      </c>
      <c r="F501" s="2">
        <v>10</v>
      </c>
      <c r="G501" s="2">
        <v>3</v>
      </c>
      <c r="H501" s="2">
        <v>8</v>
      </c>
      <c r="I501" s="2">
        <v>2</v>
      </c>
      <c r="J501" s="2">
        <v>4</v>
      </c>
      <c r="K501" s="2" t="b">
        <f t="shared" si="29"/>
        <v>1</v>
      </c>
    </row>
    <row r="502" spans="1:11">
      <c r="A502" s="2">
        <v>7</v>
      </c>
      <c r="B502" s="2">
        <v>4</v>
      </c>
      <c r="C502" s="2">
        <v>4</v>
      </c>
      <c r="D502" s="2">
        <v>3</v>
      </c>
      <c r="E502" s="2">
        <v>4</v>
      </c>
      <c r="F502" s="2">
        <v>10</v>
      </c>
      <c r="G502" s="2">
        <v>6</v>
      </c>
      <c r="H502" s="2">
        <v>9</v>
      </c>
      <c r="I502" s="2">
        <v>1</v>
      </c>
      <c r="J502" s="2">
        <v>4</v>
      </c>
      <c r="K502" s="2" t="b">
        <f t="shared" si="29"/>
        <v>1</v>
      </c>
    </row>
    <row r="503" spans="1:11">
      <c r="A503" s="2">
        <v>8</v>
      </c>
      <c r="B503" s="2">
        <v>4</v>
      </c>
      <c r="C503" s="2">
        <v>6</v>
      </c>
      <c r="D503" s="2">
        <v>3</v>
      </c>
      <c r="E503" s="2">
        <v>3</v>
      </c>
      <c r="F503" s="2">
        <v>1</v>
      </c>
      <c r="G503" s="2">
        <v>4</v>
      </c>
      <c r="H503" s="2">
        <v>3</v>
      </c>
      <c r="I503" s="2">
        <v>1</v>
      </c>
      <c r="J503" s="2">
        <v>2</v>
      </c>
      <c r="K503" s="2" t="b">
        <f t="shared" si="29"/>
        <v>0</v>
      </c>
    </row>
    <row r="504" spans="1:11">
      <c r="A504" s="2">
        <v>8</v>
      </c>
      <c r="B504" s="2">
        <v>4</v>
      </c>
      <c r="C504" s="2">
        <v>10</v>
      </c>
      <c r="D504" s="2">
        <v>5</v>
      </c>
      <c r="E504" s="2">
        <v>4</v>
      </c>
      <c r="F504" s="2">
        <v>4</v>
      </c>
      <c r="G504" s="2">
        <v>7</v>
      </c>
      <c r="H504" s="2">
        <v>10</v>
      </c>
      <c r="I504" s="2">
        <v>1</v>
      </c>
      <c r="J504" s="2">
        <v>4</v>
      </c>
      <c r="K504" s="2" t="b">
        <f t="shared" si="29"/>
        <v>1</v>
      </c>
    </row>
    <row r="505" spans="1:11">
      <c r="A505" s="2">
        <v>8</v>
      </c>
      <c r="B505" s="2">
        <v>4</v>
      </c>
      <c r="C505" s="2">
        <v>4</v>
      </c>
      <c r="D505" s="2">
        <v>5</v>
      </c>
      <c r="E505" s="2">
        <v>4</v>
      </c>
      <c r="F505" s="2">
        <v>7</v>
      </c>
      <c r="G505" s="2">
        <v>7</v>
      </c>
      <c r="H505" s="2">
        <v>8</v>
      </c>
      <c r="I505" s="2">
        <v>2</v>
      </c>
      <c r="J505" s="2">
        <v>2</v>
      </c>
      <c r="K505" s="2" t="b">
        <f t="shared" si="29"/>
        <v>0</v>
      </c>
    </row>
    <row r="506" spans="1:11">
      <c r="A506" s="2">
        <v>8</v>
      </c>
      <c r="B506" s="2">
        <v>4</v>
      </c>
      <c r="C506" s="2">
        <v>4</v>
      </c>
      <c r="D506" s="2">
        <v>1</v>
      </c>
      <c r="E506" s="2">
        <v>2</v>
      </c>
      <c r="F506" s="2">
        <v>9</v>
      </c>
      <c r="G506" s="2">
        <v>3</v>
      </c>
      <c r="H506" s="2">
        <v>3</v>
      </c>
      <c r="I506" s="2">
        <v>1</v>
      </c>
      <c r="J506" s="2">
        <v>4</v>
      </c>
      <c r="K506" s="2" t="b">
        <f t="shared" si="29"/>
        <v>1</v>
      </c>
    </row>
    <row r="507" spans="1:11">
      <c r="A507" s="2">
        <v>8</v>
      </c>
      <c r="B507" s="2">
        <v>4</v>
      </c>
      <c r="C507" s="2">
        <v>7</v>
      </c>
      <c r="D507" s="2">
        <v>1</v>
      </c>
      <c r="E507" s="2">
        <v>3</v>
      </c>
      <c r="F507" s="2">
        <v>10</v>
      </c>
      <c r="G507" s="2">
        <v>3</v>
      </c>
      <c r="H507" s="2">
        <v>9</v>
      </c>
      <c r="I507" s="2">
        <v>2</v>
      </c>
      <c r="J507" s="2">
        <v>4</v>
      </c>
      <c r="K507" s="2" t="b">
        <f t="shared" si="29"/>
        <v>1</v>
      </c>
    </row>
    <row r="508" spans="1:11">
      <c r="A508" s="2">
        <v>8</v>
      </c>
      <c r="B508" s="2">
        <v>4</v>
      </c>
      <c r="C508" s="2">
        <v>4</v>
      </c>
      <c r="D508" s="2">
        <v>1</v>
      </c>
      <c r="E508" s="2">
        <v>6</v>
      </c>
      <c r="F508" s="2">
        <v>10</v>
      </c>
      <c r="G508" s="2">
        <v>2</v>
      </c>
      <c r="H508" s="2">
        <v>5</v>
      </c>
      <c r="I508" s="2">
        <v>2</v>
      </c>
      <c r="J508" s="2">
        <v>4</v>
      </c>
      <c r="K508" s="2" t="b">
        <f t="shared" si="29"/>
        <v>1</v>
      </c>
    </row>
    <row r="509" spans="1:11">
      <c r="A509" s="2">
        <v>8</v>
      </c>
      <c r="B509" s="2">
        <v>4</v>
      </c>
      <c r="C509" s="2">
        <v>5</v>
      </c>
      <c r="D509" s="2">
        <v>1</v>
      </c>
      <c r="E509" s="2">
        <v>2</v>
      </c>
      <c r="F509" s="2" t="s">
        <v>8</v>
      </c>
      <c r="G509" s="2">
        <v>7</v>
      </c>
      <c r="H509" s="2">
        <v>3</v>
      </c>
      <c r="I509" s="2">
        <v>1</v>
      </c>
      <c r="J509" s="2">
        <v>4</v>
      </c>
      <c r="K509" s="2" t="b">
        <f t="shared" si="29"/>
        <v>1</v>
      </c>
    </row>
    <row r="510" spans="1:11">
      <c r="A510" s="2">
        <v>9</v>
      </c>
      <c r="B510" s="2">
        <v>4</v>
      </c>
      <c r="C510" s="2">
        <v>5</v>
      </c>
      <c r="D510" s="2">
        <v>10</v>
      </c>
      <c r="E510" s="2">
        <v>6</v>
      </c>
      <c r="F510" s="2">
        <v>10</v>
      </c>
      <c r="G510" s="2">
        <v>4</v>
      </c>
      <c r="H510" s="2">
        <v>8</v>
      </c>
      <c r="I510" s="2">
        <v>1</v>
      </c>
      <c r="J510" s="2">
        <v>4</v>
      </c>
      <c r="K510" s="2" t="b">
        <f t="shared" si="29"/>
        <v>1</v>
      </c>
    </row>
    <row r="511" spans="1:11">
      <c r="A511" s="2">
        <v>10</v>
      </c>
      <c r="B511" s="2">
        <v>4</v>
      </c>
      <c r="C511" s="2">
        <v>2</v>
      </c>
      <c r="D511" s="2">
        <v>1</v>
      </c>
      <c r="E511" s="2">
        <v>3</v>
      </c>
      <c r="F511" s="2">
        <v>2</v>
      </c>
      <c r="G511" s="2">
        <v>4</v>
      </c>
      <c r="H511" s="2">
        <v>3</v>
      </c>
      <c r="I511" s="2">
        <v>10</v>
      </c>
      <c r="J511" s="2">
        <v>4</v>
      </c>
      <c r="K511" s="2" t="b">
        <f t="shared" si="29"/>
        <v>1</v>
      </c>
    </row>
    <row r="512" spans="1:11">
      <c r="A512" s="2">
        <v>10</v>
      </c>
      <c r="B512" s="2">
        <v>4</v>
      </c>
      <c r="C512" s="2">
        <v>3</v>
      </c>
      <c r="D512" s="2">
        <v>1</v>
      </c>
      <c r="E512" s="2">
        <v>3</v>
      </c>
      <c r="F512" s="2">
        <v>3</v>
      </c>
      <c r="G512" s="2">
        <v>6</v>
      </c>
      <c r="H512" s="2">
        <v>5</v>
      </c>
      <c r="I512" s="2">
        <v>2</v>
      </c>
      <c r="J512" s="2">
        <v>4</v>
      </c>
      <c r="K512" s="2" t="b">
        <f t="shared" si="29"/>
        <v>1</v>
      </c>
    </row>
    <row r="513" spans="1:11">
      <c r="A513" s="2">
        <v>10</v>
      </c>
      <c r="B513" s="2">
        <v>4</v>
      </c>
      <c r="C513" s="2">
        <v>5</v>
      </c>
      <c r="D513" s="2">
        <v>4</v>
      </c>
      <c r="E513" s="2">
        <v>3</v>
      </c>
      <c r="F513" s="2">
        <v>5</v>
      </c>
      <c r="G513" s="2">
        <v>7</v>
      </c>
      <c r="H513" s="2">
        <v>3</v>
      </c>
      <c r="I513" s="2">
        <v>1</v>
      </c>
      <c r="J513" s="2">
        <v>4</v>
      </c>
      <c r="K513" s="2" t="b">
        <f t="shared" si="29"/>
        <v>1</v>
      </c>
    </row>
    <row r="514" spans="1:11">
      <c r="A514" s="2">
        <v>10</v>
      </c>
      <c r="B514" s="2">
        <v>4</v>
      </c>
      <c r="C514" s="2">
        <v>7</v>
      </c>
      <c r="D514" s="2">
        <v>2</v>
      </c>
      <c r="E514" s="2">
        <v>2</v>
      </c>
      <c r="F514" s="2">
        <v>8</v>
      </c>
      <c r="G514" s="2">
        <v>6</v>
      </c>
      <c r="H514" s="2">
        <v>1</v>
      </c>
      <c r="I514" s="2">
        <v>1</v>
      </c>
      <c r="J514" s="2">
        <v>4</v>
      </c>
      <c r="K514" s="2" t="b">
        <f t="shared" si="29"/>
        <v>1</v>
      </c>
    </row>
    <row r="515" spans="1:11">
      <c r="A515" s="2">
        <v>10</v>
      </c>
      <c r="B515" s="2">
        <v>4</v>
      </c>
      <c r="C515" s="2">
        <v>5</v>
      </c>
      <c r="D515" s="2">
        <v>5</v>
      </c>
      <c r="E515" s="2">
        <v>5</v>
      </c>
      <c r="F515" s="2">
        <v>10</v>
      </c>
      <c r="G515" s="2">
        <v>4</v>
      </c>
      <c r="H515" s="2">
        <v>1</v>
      </c>
      <c r="I515" s="2">
        <v>1</v>
      </c>
      <c r="J515" s="2">
        <v>4</v>
      </c>
      <c r="K515" s="2" t="b">
        <f t="shared" ref="K515:K578" si="30">IF(J515=4, TRUE, FALSE)</f>
        <v>1</v>
      </c>
    </row>
    <row r="516" spans="1:11">
      <c r="A516" s="2">
        <v>10</v>
      </c>
      <c r="B516" s="2">
        <v>4</v>
      </c>
      <c r="C516" s="2">
        <v>3</v>
      </c>
      <c r="D516" s="2">
        <v>2</v>
      </c>
      <c r="E516" s="2">
        <v>3</v>
      </c>
      <c r="F516" s="2">
        <v>10</v>
      </c>
      <c r="G516" s="2">
        <v>5</v>
      </c>
      <c r="H516" s="2">
        <v>3</v>
      </c>
      <c r="I516" s="2">
        <v>2</v>
      </c>
      <c r="J516" s="2">
        <v>4</v>
      </c>
      <c r="K516" s="2" t="b">
        <f t="shared" si="30"/>
        <v>1</v>
      </c>
    </row>
    <row r="517" spans="1:11">
      <c r="A517" s="2">
        <v>10</v>
      </c>
      <c r="B517" s="2">
        <v>4</v>
      </c>
      <c r="C517" s="2">
        <v>4</v>
      </c>
      <c r="D517" s="2">
        <v>10</v>
      </c>
      <c r="E517" s="2">
        <v>2</v>
      </c>
      <c r="F517" s="2">
        <v>10</v>
      </c>
      <c r="G517" s="2">
        <v>5</v>
      </c>
      <c r="H517" s="2">
        <v>3</v>
      </c>
      <c r="I517" s="2">
        <v>3</v>
      </c>
      <c r="J517" s="2">
        <v>4</v>
      </c>
      <c r="K517" s="2" t="b">
        <f t="shared" si="30"/>
        <v>1</v>
      </c>
    </row>
    <row r="518" spans="1:11">
      <c r="A518" s="2">
        <v>10</v>
      </c>
      <c r="B518" s="2">
        <v>4</v>
      </c>
      <c r="C518" s="2">
        <v>4</v>
      </c>
      <c r="D518" s="2">
        <v>10</v>
      </c>
      <c r="E518" s="2">
        <v>6</v>
      </c>
      <c r="F518" s="2">
        <v>10</v>
      </c>
      <c r="G518" s="2">
        <v>5</v>
      </c>
      <c r="H518" s="2">
        <v>5</v>
      </c>
      <c r="I518" s="2">
        <v>1</v>
      </c>
      <c r="J518" s="2">
        <v>4</v>
      </c>
      <c r="K518" s="2" t="b">
        <f t="shared" si="30"/>
        <v>1</v>
      </c>
    </row>
    <row r="519" spans="1:11">
      <c r="A519" s="2">
        <v>10</v>
      </c>
      <c r="B519" s="2">
        <v>4</v>
      </c>
      <c r="C519" s="2">
        <v>6</v>
      </c>
      <c r="D519" s="2">
        <v>1</v>
      </c>
      <c r="E519" s="2">
        <v>2</v>
      </c>
      <c r="F519" s="2">
        <v>10</v>
      </c>
      <c r="G519" s="2">
        <v>5</v>
      </c>
      <c r="H519" s="2">
        <v>3</v>
      </c>
      <c r="I519" s="2">
        <v>1</v>
      </c>
      <c r="J519" s="2">
        <v>4</v>
      </c>
      <c r="K519" s="2" t="b">
        <f t="shared" si="30"/>
        <v>1</v>
      </c>
    </row>
    <row r="520" spans="1:11">
      <c r="A520" s="2">
        <v>10</v>
      </c>
      <c r="B520" s="2">
        <v>4</v>
      </c>
      <c r="C520" s="2">
        <v>4</v>
      </c>
      <c r="D520" s="2">
        <v>6</v>
      </c>
      <c r="E520" s="2">
        <v>2</v>
      </c>
      <c r="F520" s="2">
        <v>10</v>
      </c>
      <c r="G520" s="2">
        <v>2</v>
      </c>
      <c r="H520" s="2">
        <v>3</v>
      </c>
      <c r="I520" s="2">
        <v>1</v>
      </c>
      <c r="J520" s="2">
        <v>4</v>
      </c>
      <c r="K520" s="2" t="b">
        <f t="shared" si="30"/>
        <v>1</v>
      </c>
    </row>
    <row r="521" spans="1:11">
      <c r="A521" s="2">
        <v>10</v>
      </c>
      <c r="B521" s="2">
        <v>4</v>
      </c>
      <c r="C521" s="2">
        <v>6</v>
      </c>
      <c r="D521" s="2">
        <v>4</v>
      </c>
      <c r="E521" s="2">
        <v>5</v>
      </c>
      <c r="F521" s="2">
        <v>10</v>
      </c>
      <c r="G521" s="2">
        <v>7</v>
      </c>
      <c r="H521" s="2">
        <v>1</v>
      </c>
      <c r="I521" s="2">
        <v>1</v>
      </c>
      <c r="J521" s="2">
        <v>4</v>
      </c>
      <c r="K521" s="2" t="b">
        <f t="shared" si="30"/>
        <v>1</v>
      </c>
    </row>
    <row r="522" spans="1:11">
      <c r="A522" s="2">
        <v>10</v>
      </c>
      <c r="B522" s="2">
        <v>4</v>
      </c>
      <c r="C522" s="2">
        <v>3</v>
      </c>
      <c r="D522" s="2">
        <v>10</v>
      </c>
      <c r="E522" s="2">
        <v>4</v>
      </c>
      <c r="F522" s="2">
        <v>10</v>
      </c>
      <c r="G522" s="2">
        <v>10</v>
      </c>
      <c r="H522" s="2">
        <v>1</v>
      </c>
      <c r="I522" s="2">
        <v>1</v>
      </c>
      <c r="J522" s="2">
        <v>4</v>
      </c>
      <c r="K522" s="2" t="b">
        <f t="shared" si="30"/>
        <v>1</v>
      </c>
    </row>
    <row r="523" spans="1:11">
      <c r="A523" s="2">
        <v>10</v>
      </c>
      <c r="B523" s="2">
        <v>4</v>
      </c>
      <c r="C523" s="2">
        <v>3</v>
      </c>
      <c r="D523" s="2">
        <v>10</v>
      </c>
      <c r="E523" s="2">
        <v>3</v>
      </c>
      <c r="F523" s="2">
        <v>10</v>
      </c>
      <c r="G523" s="2">
        <v>7</v>
      </c>
      <c r="H523" s="2">
        <v>1</v>
      </c>
      <c r="I523" s="2">
        <v>2</v>
      </c>
      <c r="J523" s="2">
        <v>4</v>
      </c>
      <c r="K523" s="2" t="b">
        <f t="shared" si="30"/>
        <v>1</v>
      </c>
    </row>
    <row r="524" spans="1:11">
      <c r="A524" s="2">
        <v>9</v>
      </c>
      <c r="B524" s="2">
        <v>5</v>
      </c>
      <c r="C524" s="2">
        <v>5</v>
      </c>
      <c r="D524" s="2">
        <v>2</v>
      </c>
      <c r="E524" s="2">
        <v>2</v>
      </c>
      <c r="F524" s="2">
        <v>2</v>
      </c>
      <c r="G524" s="2">
        <v>5</v>
      </c>
      <c r="H524" s="2">
        <v>1</v>
      </c>
      <c r="I524" s="2">
        <v>1</v>
      </c>
      <c r="J524" s="2">
        <v>4</v>
      </c>
      <c r="K524" s="2" t="b">
        <f t="shared" si="30"/>
        <v>1</v>
      </c>
    </row>
    <row r="525" spans="1:11">
      <c r="A525" s="2">
        <v>9</v>
      </c>
      <c r="B525" s="2">
        <v>5</v>
      </c>
      <c r="C525" s="2">
        <v>8</v>
      </c>
      <c r="D525" s="2">
        <v>1</v>
      </c>
      <c r="E525" s="2">
        <v>2</v>
      </c>
      <c r="F525" s="2">
        <v>3</v>
      </c>
      <c r="G525" s="2">
        <v>2</v>
      </c>
      <c r="H525" s="2">
        <v>1</v>
      </c>
      <c r="I525" s="2">
        <v>5</v>
      </c>
      <c r="J525" s="2">
        <v>4</v>
      </c>
      <c r="K525" s="2" t="b">
        <f t="shared" si="30"/>
        <v>1</v>
      </c>
    </row>
    <row r="526" spans="1:11">
      <c r="A526" s="2">
        <v>9</v>
      </c>
      <c r="B526" s="2">
        <v>5</v>
      </c>
      <c r="C526" s="2">
        <v>5</v>
      </c>
      <c r="D526" s="2">
        <v>4</v>
      </c>
      <c r="E526" s="2">
        <v>4</v>
      </c>
      <c r="F526" s="2">
        <v>5</v>
      </c>
      <c r="G526" s="2">
        <v>4</v>
      </c>
      <c r="H526" s="2">
        <v>3</v>
      </c>
      <c r="I526" s="2">
        <v>3</v>
      </c>
      <c r="J526" s="2">
        <v>4</v>
      </c>
      <c r="K526" s="2" t="b">
        <f t="shared" si="30"/>
        <v>1</v>
      </c>
    </row>
    <row r="527" spans="1:11">
      <c r="A527" s="2">
        <v>10</v>
      </c>
      <c r="B527" s="2">
        <v>5</v>
      </c>
      <c r="C527" s="2">
        <v>5</v>
      </c>
      <c r="D527" s="2">
        <v>3</v>
      </c>
      <c r="E527" s="2">
        <v>6</v>
      </c>
      <c r="F527" s="2">
        <v>7</v>
      </c>
      <c r="G527" s="2">
        <v>7</v>
      </c>
      <c r="H527" s="2">
        <v>10</v>
      </c>
      <c r="I527" s="2">
        <v>1</v>
      </c>
      <c r="J527" s="2">
        <v>4</v>
      </c>
      <c r="K527" s="2" t="b">
        <f t="shared" si="30"/>
        <v>1</v>
      </c>
    </row>
    <row r="528" spans="1:11">
      <c r="A528" s="2">
        <v>2</v>
      </c>
      <c r="B528" s="2">
        <v>5</v>
      </c>
      <c r="C528" s="2">
        <v>3</v>
      </c>
      <c r="D528" s="2">
        <v>3</v>
      </c>
      <c r="E528" s="2">
        <v>6</v>
      </c>
      <c r="F528" s="2">
        <v>7</v>
      </c>
      <c r="G528" s="2">
        <v>7</v>
      </c>
      <c r="H528" s="2">
        <v>5</v>
      </c>
      <c r="I528" s="2">
        <v>1</v>
      </c>
      <c r="J528" s="2">
        <v>4</v>
      </c>
      <c r="K528" s="2" t="b">
        <f t="shared" si="30"/>
        <v>1</v>
      </c>
    </row>
    <row r="529" spans="1:11">
      <c r="A529" s="2">
        <v>10</v>
      </c>
      <c r="B529" s="2">
        <v>5</v>
      </c>
      <c r="C529" s="2">
        <v>7</v>
      </c>
      <c r="D529" s="2">
        <v>3</v>
      </c>
      <c r="E529" s="2">
        <v>3</v>
      </c>
      <c r="F529" s="2">
        <v>7</v>
      </c>
      <c r="G529" s="2">
        <v>3</v>
      </c>
      <c r="H529" s="2">
        <v>3</v>
      </c>
      <c r="I529" s="2">
        <v>8</v>
      </c>
      <c r="J529" s="2">
        <v>4</v>
      </c>
      <c r="K529" s="2" t="b">
        <f t="shared" si="30"/>
        <v>1</v>
      </c>
    </row>
    <row r="530" spans="1:11">
      <c r="A530" s="2">
        <v>5</v>
      </c>
      <c r="B530" s="2">
        <v>5</v>
      </c>
      <c r="C530" s="2">
        <v>5</v>
      </c>
      <c r="D530" s="2">
        <v>8</v>
      </c>
      <c r="E530" s="2">
        <v>10</v>
      </c>
      <c r="F530" s="2">
        <v>8</v>
      </c>
      <c r="G530" s="2">
        <v>7</v>
      </c>
      <c r="H530" s="2">
        <v>3</v>
      </c>
      <c r="I530" s="2">
        <v>7</v>
      </c>
      <c r="J530" s="2">
        <v>4</v>
      </c>
      <c r="K530" s="2" t="b">
        <f t="shared" si="30"/>
        <v>1</v>
      </c>
    </row>
    <row r="531" spans="1:11">
      <c r="A531" s="2">
        <v>10</v>
      </c>
      <c r="B531" s="2">
        <v>5</v>
      </c>
      <c r="C531" s="2">
        <v>5</v>
      </c>
      <c r="D531" s="2">
        <v>6</v>
      </c>
      <c r="E531" s="2">
        <v>8</v>
      </c>
      <c r="F531" s="2">
        <v>8</v>
      </c>
      <c r="G531" s="2">
        <v>7</v>
      </c>
      <c r="H531" s="2">
        <v>1</v>
      </c>
      <c r="I531" s="2">
        <v>1</v>
      </c>
      <c r="J531" s="2">
        <v>4</v>
      </c>
      <c r="K531" s="2" t="b">
        <f t="shared" si="30"/>
        <v>1</v>
      </c>
    </row>
    <row r="532" spans="1:11">
      <c r="A532" s="2">
        <v>1</v>
      </c>
      <c r="B532" s="2">
        <v>5</v>
      </c>
      <c r="C532" s="2">
        <v>8</v>
      </c>
      <c r="D532" s="2">
        <v>6</v>
      </c>
      <c r="E532" s="2">
        <v>5</v>
      </c>
      <c r="F532" s="2">
        <v>8</v>
      </c>
      <c r="G532" s="2">
        <v>7</v>
      </c>
      <c r="H532" s="2">
        <v>10</v>
      </c>
      <c r="I532" s="2">
        <v>1</v>
      </c>
      <c r="J532" s="2">
        <v>4</v>
      </c>
      <c r="K532" s="2" t="b">
        <f t="shared" si="30"/>
        <v>1</v>
      </c>
    </row>
    <row r="533" spans="1:11">
      <c r="A533" s="2">
        <v>7</v>
      </c>
      <c r="B533" s="2">
        <v>5</v>
      </c>
      <c r="C533" s="2">
        <v>6</v>
      </c>
      <c r="D533" s="2">
        <v>3</v>
      </c>
      <c r="E533" s="2">
        <v>3</v>
      </c>
      <c r="F533" s="2">
        <v>8</v>
      </c>
      <c r="G533" s="2">
        <v>7</v>
      </c>
      <c r="H533" s="2">
        <v>4</v>
      </c>
      <c r="I533" s="2">
        <v>1</v>
      </c>
      <c r="J533" s="2">
        <v>4</v>
      </c>
      <c r="K533" s="2" t="b">
        <f t="shared" si="30"/>
        <v>1</v>
      </c>
    </row>
    <row r="534" spans="1:11">
      <c r="A534" s="2">
        <v>10</v>
      </c>
      <c r="B534" s="2">
        <v>5</v>
      </c>
      <c r="C534" s="2">
        <v>10</v>
      </c>
      <c r="D534" s="2">
        <v>3</v>
      </c>
      <c r="E534" s="2">
        <v>5</v>
      </c>
      <c r="F534" s="2">
        <v>8</v>
      </c>
      <c r="G534" s="2">
        <v>7</v>
      </c>
      <c r="H534" s="2">
        <v>8</v>
      </c>
      <c r="I534" s="2">
        <v>3</v>
      </c>
      <c r="J534" s="2">
        <v>4</v>
      </c>
      <c r="K534" s="2" t="b">
        <f t="shared" si="30"/>
        <v>1</v>
      </c>
    </row>
    <row r="535" spans="1:11">
      <c r="A535" s="2">
        <v>3</v>
      </c>
      <c r="B535" s="2">
        <v>5</v>
      </c>
      <c r="C535" s="2">
        <v>7</v>
      </c>
      <c r="D535" s="2">
        <v>8</v>
      </c>
      <c r="E535" s="2">
        <v>8</v>
      </c>
      <c r="F535" s="2">
        <v>9</v>
      </c>
      <c r="G535" s="2">
        <v>7</v>
      </c>
      <c r="H535" s="2">
        <v>10</v>
      </c>
      <c r="I535" s="2">
        <v>7</v>
      </c>
      <c r="J535" s="2">
        <v>4</v>
      </c>
      <c r="K535" s="2" t="b">
        <f t="shared" si="30"/>
        <v>1</v>
      </c>
    </row>
    <row r="536" spans="1:11">
      <c r="A536" s="2">
        <v>6</v>
      </c>
      <c r="B536" s="2">
        <v>5</v>
      </c>
      <c r="C536" s="2">
        <v>4</v>
      </c>
      <c r="D536" s="2">
        <v>4</v>
      </c>
      <c r="E536" s="2">
        <v>3</v>
      </c>
      <c r="F536" s="2">
        <v>9</v>
      </c>
      <c r="G536" s="2">
        <v>7</v>
      </c>
      <c r="H536" s="2">
        <v>8</v>
      </c>
      <c r="I536" s="2">
        <v>3</v>
      </c>
      <c r="J536" s="2">
        <v>4</v>
      </c>
      <c r="K536" s="2" t="b">
        <f t="shared" si="30"/>
        <v>1</v>
      </c>
    </row>
    <row r="537" spans="1:11">
      <c r="A537" s="2">
        <v>7</v>
      </c>
      <c r="B537" s="2">
        <v>5</v>
      </c>
      <c r="C537" s="2">
        <v>6</v>
      </c>
      <c r="D537" s="2">
        <v>10</v>
      </c>
      <c r="E537" s="2">
        <v>5</v>
      </c>
      <c r="F537" s="2">
        <v>10</v>
      </c>
      <c r="G537" s="2">
        <v>7</v>
      </c>
      <c r="H537" s="2">
        <v>9</v>
      </c>
      <c r="I537" s="2">
        <v>4</v>
      </c>
      <c r="J537" s="2">
        <v>4</v>
      </c>
      <c r="K537" s="2" t="b">
        <f t="shared" si="30"/>
        <v>1</v>
      </c>
    </row>
    <row r="538" spans="1:11">
      <c r="A538" s="2">
        <v>4</v>
      </c>
      <c r="B538" s="2">
        <v>5</v>
      </c>
      <c r="C538" s="2">
        <v>5</v>
      </c>
      <c r="D538" s="2">
        <v>10</v>
      </c>
      <c r="E538" s="2">
        <v>4</v>
      </c>
      <c r="F538" s="2">
        <v>10</v>
      </c>
      <c r="G538" s="2">
        <v>7</v>
      </c>
      <c r="H538" s="2">
        <v>5</v>
      </c>
      <c r="I538" s="2">
        <v>8</v>
      </c>
      <c r="J538" s="2">
        <v>4</v>
      </c>
      <c r="K538" s="2" t="b">
        <f t="shared" si="30"/>
        <v>1</v>
      </c>
    </row>
    <row r="539" spans="1:11">
      <c r="A539" s="2">
        <v>7</v>
      </c>
      <c r="B539" s="2">
        <v>5</v>
      </c>
      <c r="C539" s="2">
        <v>3</v>
      </c>
      <c r="D539" s="2">
        <v>7</v>
      </c>
      <c r="E539" s="2">
        <v>4</v>
      </c>
      <c r="F539" s="2">
        <v>10</v>
      </c>
      <c r="G539" s="2">
        <v>7</v>
      </c>
      <c r="H539" s="2">
        <v>5</v>
      </c>
      <c r="I539" s="2">
        <v>5</v>
      </c>
      <c r="J539" s="2">
        <v>4</v>
      </c>
      <c r="K539" s="2" t="b">
        <f t="shared" si="30"/>
        <v>1</v>
      </c>
    </row>
    <row r="540" spans="1:11">
      <c r="A540" s="2">
        <v>5</v>
      </c>
      <c r="B540" s="2">
        <v>5</v>
      </c>
      <c r="C540" s="2">
        <v>5</v>
      </c>
      <c r="D540" s="2">
        <v>6</v>
      </c>
      <c r="E540" s="2">
        <v>3</v>
      </c>
      <c r="F540" s="2">
        <v>10</v>
      </c>
      <c r="G540" s="2">
        <v>3</v>
      </c>
      <c r="H540" s="2">
        <v>1</v>
      </c>
      <c r="I540" s="2">
        <v>1</v>
      </c>
      <c r="J540" s="2">
        <v>4</v>
      </c>
      <c r="K540" s="2" t="b">
        <f t="shared" si="30"/>
        <v>1</v>
      </c>
    </row>
    <row r="541" spans="1:11">
      <c r="A541" s="2">
        <v>10</v>
      </c>
      <c r="B541" s="2">
        <v>5</v>
      </c>
      <c r="C541" s="2">
        <v>6</v>
      </c>
      <c r="D541" s="2">
        <v>10</v>
      </c>
      <c r="E541" s="2">
        <v>6</v>
      </c>
      <c r="F541" s="2">
        <v>10</v>
      </c>
      <c r="G541" s="2">
        <v>7</v>
      </c>
      <c r="H541" s="2">
        <v>7</v>
      </c>
      <c r="I541" s="2">
        <v>10</v>
      </c>
      <c r="J541" s="2">
        <v>4</v>
      </c>
      <c r="K541" s="2" t="b">
        <f t="shared" si="30"/>
        <v>1</v>
      </c>
    </row>
    <row r="542" spans="1:11">
      <c r="A542" s="2">
        <v>7</v>
      </c>
      <c r="B542" s="2">
        <v>5</v>
      </c>
      <c r="C542" s="2">
        <v>10</v>
      </c>
      <c r="D542" s="2">
        <v>10</v>
      </c>
      <c r="E542" s="2">
        <v>10</v>
      </c>
      <c r="F542" s="2">
        <v>10</v>
      </c>
      <c r="G542" s="2">
        <v>4</v>
      </c>
      <c r="H542" s="2">
        <v>10</v>
      </c>
      <c r="I542" s="2">
        <v>3</v>
      </c>
      <c r="J542" s="2">
        <v>4</v>
      </c>
      <c r="K542" s="2" t="b">
        <f t="shared" si="30"/>
        <v>1</v>
      </c>
    </row>
    <row r="543" spans="1:11">
      <c r="A543" s="2">
        <v>10</v>
      </c>
      <c r="B543" s="2">
        <v>5</v>
      </c>
      <c r="C543" s="2">
        <v>5</v>
      </c>
      <c r="D543" s="2">
        <v>6</v>
      </c>
      <c r="E543" s="2">
        <v>3</v>
      </c>
      <c r="F543" s="2">
        <v>10</v>
      </c>
      <c r="G543" s="2">
        <v>7</v>
      </c>
      <c r="H543" s="2">
        <v>9</v>
      </c>
      <c r="I543" s="2">
        <v>2</v>
      </c>
      <c r="J543" s="2">
        <v>4</v>
      </c>
      <c r="K543" s="2" t="b">
        <f t="shared" si="30"/>
        <v>1</v>
      </c>
    </row>
    <row r="544" spans="1:11">
      <c r="A544" s="2">
        <v>10</v>
      </c>
      <c r="B544" s="2">
        <v>5</v>
      </c>
      <c r="C544" s="2">
        <v>7</v>
      </c>
      <c r="D544" s="2">
        <v>4</v>
      </c>
      <c r="E544" s="2">
        <v>4</v>
      </c>
      <c r="F544" s="2">
        <v>10</v>
      </c>
      <c r="G544" s="2">
        <v>8</v>
      </c>
      <c r="H544" s="2">
        <v>9</v>
      </c>
      <c r="I544" s="2">
        <v>1</v>
      </c>
      <c r="J544" s="2">
        <v>4</v>
      </c>
      <c r="K544" s="2" t="b">
        <f t="shared" si="30"/>
        <v>1</v>
      </c>
    </row>
    <row r="545" spans="1:11">
      <c r="A545" s="2">
        <v>10</v>
      </c>
      <c r="B545" s="2">
        <v>5</v>
      </c>
      <c r="C545" s="2">
        <v>8</v>
      </c>
      <c r="D545" s="2">
        <v>10</v>
      </c>
      <c r="E545" s="2">
        <v>3</v>
      </c>
      <c r="F545" s="2">
        <v>10</v>
      </c>
      <c r="G545" s="2">
        <v>5</v>
      </c>
      <c r="H545" s="2">
        <v>1</v>
      </c>
      <c r="I545" s="2">
        <v>3</v>
      </c>
      <c r="J545" s="2">
        <v>4</v>
      </c>
      <c r="K545" s="2" t="b">
        <f t="shared" si="30"/>
        <v>1</v>
      </c>
    </row>
    <row r="546" spans="1:11">
      <c r="A546" s="2">
        <v>5</v>
      </c>
      <c r="B546" s="2">
        <v>5</v>
      </c>
      <c r="C546" s="2">
        <v>7</v>
      </c>
      <c r="D546" s="2">
        <v>8</v>
      </c>
      <c r="E546" s="2">
        <v>6</v>
      </c>
      <c r="F546" s="2">
        <v>10</v>
      </c>
      <c r="G546" s="2">
        <v>7</v>
      </c>
      <c r="H546" s="2">
        <v>4</v>
      </c>
      <c r="I546" s="2">
        <v>1</v>
      </c>
      <c r="J546" s="2">
        <v>4</v>
      </c>
      <c r="K546" s="2" t="b">
        <f t="shared" si="30"/>
        <v>1</v>
      </c>
    </row>
    <row r="547" spans="1:11">
      <c r="A547" s="2">
        <v>5</v>
      </c>
      <c r="B547" s="2">
        <v>5</v>
      </c>
      <c r="C547" s="2">
        <v>5</v>
      </c>
      <c r="D547" s="2">
        <v>2</v>
      </c>
      <c r="E547" s="2">
        <v>5</v>
      </c>
      <c r="F547" s="2">
        <v>10</v>
      </c>
      <c r="G547" s="2">
        <v>4</v>
      </c>
      <c r="H547" s="2">
        <v>3</v>
      </c>
      <c r="I547" s="2">
        <v>1</v>
      </c>
      <c r="J547" s="2">
        <v>4</v>
      </c>
      <c r="K547" s="2" t="b">
        <f t="shared" si="30"/>
        <v>1</v>
      </c>
    </row>
    <row r="548" spans="1:11">
      <c r="A548" s="2">
        <v>6</v>
      </c>
      <c r="B548" s="2">
        <v>5</v>
      </c>
      <c r="C548" s="2">
        <v>5</v>
      </c>
      <c r="D548" s="2">
        <v>8</v>
      </c>
      <c r="E548" s="2">
        <v>4</v>
      </c>
      <c r="F548" s="2">
        <v>10</v>
      </c>
      <c r="G548" s="2">
        <v>3</v>
      </c>
      <c r="H548" s="2">
        <v>4</v>
      </c>
      <c r="I548" s="2">
        <v>1</v>
      </c>
      <c r="J548" s="2">
        <v>4</v>
      </c>
      <c r="K548" s="2" t="b">
        <f t="shared" si="30"/>
        <v>1</v>
      </c>
    </row>
    <row r="549" spans="1:11">
      <c r="A549" s="2">
        <v>8</v>
      </c>
      <c r="B549" s="2">
        <v>5</v>
      </c>
      <c r="C549" s="2">
        <v>5</v>
      </c>
      <c r="D549" s="2">
        <v>5</v>
      </c>
      <c r="E549" s="2">
        <v>2</v>
      </c>
      <c r="F549" s="2">
        <v>10</v>
      </c>
      <c r="G549" s="2">
        <v>4</v>
      </c>
      <c r="H549" s="2">
        <v>3</v>
      </c>
      <c r="I549" s="2">
        <v>1</v>
      </c>
      <c r="J549" s="2">
        <v>4</v>
      </c>
      <c r="K549" s="2" t="b">
        <f t="shared" si="30"/>
        <v>1</v>
      </c>
    </row>
    <row r="550" spans="1:11">
      <c r="A550" s="2">
        <v>8</v>
      </c>
      <c r="B550" s="2">
        <v>5</v>
      </c>
      <c r="C550" s="2">
        <v>6</v>
      </c>
      <c r="D550" s="2">
        <v>2</v>
      </c>
      <c r="E550" s="2">
        <v>3</v>
      </c>
      <c r="F550" s="2">
        <v>10</v>
      </c>
      <c r="G550" s="2">
        <v>6</v>
      </c>
      <c r="H550" s="2">
        <v>6</v>
      </c>
      <c r="I550" s="2">
        <v>1</v>
      </c>
      <c r="J550" s="2">
        <v>4</v>
      </c>
      <c r="K550" s="2" t="b">
        <f t="shared" si="30"/>
        <v>1</v>
      </c>
    </row>
    <row r="551" spans="1:11">
      <c r="A551" s="2">
        <v>4</v>
      </c>
      <c r="B551" s="2">
        <v>5</v>
      </c>
      <c r="C551" s="2">
        <v>5</v>
      </c>
      <c r="D551" s="2">
        <v>8</v>
      </c>
      <c r="E551" s="2">
        <v>6</v>
      </c>
      <c r="F551" s="2">
        <v>10</v>
      </c>
      <c r="G551" s="2">
        <v>10</v>
      </c>
      <c r="H551" s="2">
        <v>7</v>
      </c>
      <c r="I551" s="2">
        <v>1</v>
      </c>
      <c r="J551" s="2">
        <v>4</v>
      </c>
      <c r="K551" s="2" t="b">
        <f t="shared" si="30"/>
        <v>1</v>
      </c>
    </row>
    <row r="552" spans="1:11">
      <c r="A552" s="2">
        <v>7</v>
      </c>
      <c r="B552" s="2">
        <v>5</v>
      </c>
      <c r="C552" s="2">
        <v>6</v>
      </c>
      <c r="D552" s="2">
        <v>10</v>
      </c>
      <c r="E552" s="2">
        <v>4</v>
      </c>
      <c r="F552" s="2">
        <v>10</v>
      </c>
      <c r="G552" s="2">
        <v>5</v>
      </c>
      <c r="H552" s="2">
        <v>3</v>
      </c>
      <c r="I552" s="2">
        <v>1</v>
      </c>
      <c r="J552" s="2">
        <v>4</v>
      </c>
      <c r="K552" s="2" t="b">
        <f t="shared" si="30"/>
        <v>1</v>
      </c>
    </row>
    <row r="553" spans="1:11">
      <c r="A553" s="2">
        <v>2</v>
      </c>
      <c r="B553" s="2">
        <v>5</v>
      </c>
      <c r="C553" s="2">
        <v>7</v>
      </c>
      <c r="D553" s="2">
        <v>6</v>
      </c>
      <c r="E553" s="2">
        <v>4</v>
      </c>
      <c r="F553" s="2">
        <v>10</v>
      </c>
      <c r="G553" s="2">
        <v>7</v>
      </c>
      <c r="H553" s="2">
        <v>6</v>
      </c>
      <c r="I553" s="2">
        <v>1</v>
      </c>
      <c r="J553" s="2">
        <v>4</v>
      </c>
      <c r="K553" s="2" t="b">
        <f t="shared" si="30"/>
        <v>1</v>
      </c>
    </row>
    <row r="554" spans="1:11">
      <c r="A554" s="2">
        <v>5</v>
      </c>
      <c r="B554" s="2">
        <v>6</v>
      </c>
      <c r="C554" s="2">
        <v>5</v>
      </c>
      <c r="D554" s="2">
        <v>6</v>
      </c>
      <c r="E554" s="2">
        <v>10</v>
      </c>
      <c r="F554" s="2">
        <v>1</v>
      </c>
      <c r="G554" s="2">
        <v>3</v>
      </c>
      <c r="H554" s="2">
        <v>1</v>
      </c>
      <c r="I554" s="2">
        <v>1</v>
      </c>
      <c r="J554" s="2">
        <v>4</v>
      </c>
      <c r="K554" s="2" t="b">
        <f t="shared" si="30"/>
        <v>1</v>
      </c>
    </row>
    <row r="555" spans="1:11">
      <c r="A555" s="2">
        <v>8</v>
      </c>
      <c r="B555" s="2">
        <v>6</v>
      </c>
      <c r="C555" s="2">
        <v>4</v>
      </c>
      <c r="D555" s="2">
        <v>10</v>
      </c>
      <c r="E555" s="2">
        <v>10</v>
      </c>
      <c r="F555" s="2">
        <v>1</v>
      </c>
      <c r="G555" s="2">
        <v>3</v>
      </c>
      <c r="H555" s="2">
        <v>5</v>
      </c>
      <c r="I555" s="2">
        <v>1</v>
      </c>
      <c r="J555" s="2">
        <v>4</v>
      </c>
      <c r="K555" s="2" t="b">
        <f t="shared" si="30"/>
        <v>1</v>
      </c>
    </row>
    <row r="556" spans="1:11">
      <c r="A556" s="2">
        <v>3</v>
      </c>
      <c r="B556" s="2">
        <v>6</v>
      </c>
      <c r="C556" s="2">
        <v>4</v>
      </c>
      <c r="D556" s="2">
        <v>10</v>
      </c>
      <c r="E556" s="2">
        <v>3</v>
      </c>
      <c r="F556" s="2">
        <v>3</v>
      </c>
      <c r="G556" s="2">
        <v>3</v>
      </c>
      <c r="H556" s="2">
        <v>4</v>
      </c>
      <c r="I556" s="2">
        <v>1</v>
      </c>
      <c r="J556" s="2">
        <v>4</v>
      </c>
      <c r="K556" s="2" t="b">
        <f t="shared" si="30"/>
        <v>1</v>
      </c>
    </row>
    <row r="557" spans="1:11">
      <c r="A557" s="2">
        <v>10</v>
      </c>
      <c r="B557" s="2">
        <v>6</v>
      </c>
      <c r="C557" s="2">
        <v>4</v>
      </c>
      <c r="D557" s="2">
        <v>1</v>
      </c>
      <c r="E557" s="2">
        <v>3</v>
      </c>
      <c r="F557" s="2">
        <v>4</v>
      </c>
      <c r="G557" s="2">
        <v>3</v>
      </c>
      <c r="H557" s="2">
        <v>2</v>
      </c>
      <c r="I557" s="2">
        <v>3</v>
      </c>
      <c r="J557" s="2">
        <v>4</v>
      </c>
      <c r="K557" s="2" t="b">
        <f t="shared" si="30"/>
        <v>1</v>
      </c>
    </row>
    <row r="558" spans="1:11">
      <c r="A558" s="2">
        <v>10</v>
      </c>
      <c r="B558" s="2">
        <v>6</v>
      </c>
      <c r="C558" s="2">
        <v>6</v>
      </c>
      <c r="D558" s="2">
        <v>3</v>
      </c>
      <c r="E558" s="2">
        <v>4</v>
      </c>
      <c r="F558" s="2">
        <v>5</v>
      </c>
      <c r="G558" s="2">
        <v>3</v>
      </c>
      <c r="H558" s="2">
        <v>6</v>
      </c>
      <c r="I558" s="2">
        <v>1</v>
      </c>
      <c r="J558" s="2">
        <v>4</v>
      </c>
      <c r="K558" s="2" t="b">
        <f t="shared" si="30"/>
        <v>1</v>
      </c>
    </row>
    <row r="559" spans="1:11">
      <c r="A559" s="2">
        <v>9</v>
      </c>
      <c r="B559" s="2">
        <v>6</v>
      </c>
      <c r="C559" s="2">
        <v>9</v>
      </c>
      <c r="D559" s="2">
        <v>2</v>
      </c>
      <c r="E559" s="2">
        <v>10</v>
      </c>
      <c r="F559" s="2">
        <v>6</v>
      </c>
      <c r="G559" s="2">
        <v>2</v>
      </c>
      <c r="H559" s="2">
        <v>9</v>
      </c>
      <c r="I559" s="2">
        <v>10</v>
      </c>
      <c r="J559" s="2">
        <v>4</v>
      </c>
      <c r="K559" s="2" t="b">
        <f t="shared" si="30"/>
        <v>1</v>
      </c>
    </row>
    <row r="560" spans="1:11">
      <c r="A560" s="2">
        <v>4</v>
      </c>
      <c r="B560" s="2">
        <v>6</v>
      </c>
      <c r="C560" s="2">
        <v>6</v>
      </c>
      <c r="D560" s="2">
        <v>5</v>
      </c>
      <c r="E560" s="2">
        <v>7</v>
      </c>
      <c r="F560" s="2">
        <v>6</v>
      </c>
      <c r="G560" s="2">
        <v>7</v>
      </c>
      <c r="H560" s="2">
        <v>7</v>
      </c>
      <c r="I560" s="2">
        <v>3</v>
      </c>
      <c r="J560" s="2">
        <v>4</v>
      </c>
      <c r="K560" s="2" t="b">
        <f t="shared" si="30"/>
        <v>1</v>
      </c>
    </row>
    <row r="561" spans="1:11">
      <c r="A561" s="2">
        <v>8</v>
      </c>
      <c r="B561" s="2">
        <v>6</v>
      </c>
      <c r="C561" s="2">
        <v>4</v>
      </c>
      <c r="D561" s="2">
        <v>3</v>
      </c>
      <c r="E561" s="2">
        <v>5</v>
      </c>
      <c r="F561" s="2">
        <v>9</v>
      </c>
      <c r="G561" s="2">
        <v>3</v>
      </c>
      <c r="H561" s="2">
        <v>1</v>
      </c>
      <c r="I561" s="2">
        <v>1</v>
      </c>
      <c r="J561" s="2">
        <v>4</v>
      </c>
      <c r="K561" s="2" t="b">
        <f t="shared" si="30"/>
        <v>1</v>
      </c>
    </row>
    <row r="562" spans="1:11">
      <c r="A562" s="2">
        <v>3</v>
      </c>
      <c r="B562" s="2">
        <v>6</v>
      </c>
      <c r="C562" s="2">
        <v>6</v>
      </c>
      <c r="D562" s="2">
        <v>6</v>
      </c>
      <c r="E562" s="2">
        <v>5</v>
      </c>
      <c r="F562" s="2">
        <v>10</v>
      </c>
      <c r="G562" s="2">
        <v>6</v>
      </c>
      <c r="H562" s="2">
        <v>8</v>
      </c>
      <c r="I562" s="2">
        <v>3</v>
      </c>
      <c r="J562" s="2">
        <v>4</v>
      </c>
      <c r="K562" s="2" t="b">
        <f t="shared" si="30"/>
        <v>1</v>
      </c>
    </row>
    <row r="563" spans="1:11">
      <c r="A563" s="2">
        <v>1</v>
      </c>
      <c r="B563" s="2">
        <v>6</v>
      </c>
      <c r="C563" s="2">
        <v>8</v>
      </c>
      <c r="D563" s="2">
        <v>10</v>
      </c>
      <c r="E563" s="2">
        <v>8</v>
      </c>
      <c r="F563" s="2">
        <v>10</v>
      </c>
      <c r="G563" s="2">
        <v>5</v>
      </c>
      <c r="H563" s="2">
        <v>7</v>
      </c>
      <c r="I563" s="2">
        <v>1</v>
      </c>
      <c r="J563" s="2">
        <v>4</v>
      </c>
      <c r="K563" s="2" t="b">
        <f t="shared" si="30"/>
        <v>1</v>
      </c>
    </row>
    <row r="564" spans="1:11">
      <c r="A564" s="2">
        <v>5</v>
      </c>
      <c r="B564" s="2">
        <v>6</v>
      </c>
      <c r="C564" s="2">
        <v>7</v>
      </c>
      <c r="D564" s="2">
        <v>8</v>
      </c>
      <c r="E564" s="2">
        <v>8</v>
      </c>
      <c r="F564" s="2">
        <v>10</v>
      </c>
      <c r="G564" s="2">
        <v>3</v>
      </c>
      <c r="H564" s="2">
        <v>10</v>
      </c>
      <c r="I564" s="2">
        <v>3</v>
      </c>
      <c r="J564" s="2">
        <v>4</v>
      </c>
      <c r="K564" s="2" t="b">
        <f t="shared" si="30"/>
        <v>1</v>
      </c>
    </row>
    <row r="565" spans="1:11">
      <c r="A565" s="2">
        <v>8</v>
      </c>
      <c r="B565" s="2">
        <v>6</v>
      </c>
      <c r="C565" s="2">
        <v>5</v>
      </c>
      <c r="D565" s="2">
        <v>4</v>
      </c>
      <c r="E565" s="2">
        <v>3</v>
      </c>
      <c r="F565" s="2">
        <v>10</v>
      </c>
      <c r="G565" s="2">
        <v>6</v>
      </c>
      <c r="H565" s="2">
        <v>1</v>
      </c>
      <c r="I565" s="2">
        <v>1</v>
      </c>
      <c r="J565" s="2">
        <v>4</v>
      </c>
      <c r="K565" s="2" t="b">
        <f t="shared" si="30"/>
        <v>1</v>
      </c>
    </row>
    <row r="566" spans="1:11">
      <c r="A566" s="2">
        <v>10</v>
      </c>
      <c r="B566" s="2">
        <v>6</v>
      </c>
      <c r="C566" s="2">
        <v>4</v>
      </c>
      <c r="D566" s="2">
        <v>3</v>
      </c>
      <c r="E566" s="2">
        <v>10</v>
      </c>
      <c r="F566" s="2">
        <v>10</v>
      </c>
      <c r="G566" s="2">
        <v>9</v>
      </c>
      <c r="H566" s="2">
        <v>10</v>
      </c>
      <c r="I566" s="2">
        <v>1</v>
      </c>
      <c r="J566" s="2">
        <v>4</v>
      </c>
      <c r="K566" s="2" t="b">
        <f t="shared" si="30"/>
        <v>1</v>
      </c>
    </row>
    <row r="567" spans="1:11">
      <c r="A567" s="2">
        <v>5</v>
      </c>
      <c r="B567" s="2">
        <v>6</v>
      </c>
      <c r="C567" s="2">
        <v>6</v>
      </c>
      <c r="D567" s="2">
        <v>2</v>
      </c>
      <c r="E567" s="2">
        <v>4</v>
      </c>
      <c r="F567" s="2">
        <v>10</v>
      </c>
      <c r="G567" s="2">
        <v>3</v>
      </c>
      <c r="H567" s="2">
        <v>6</v>
      </c>
      <c r="I567" s="2">
        <v>1</v>
      </c>
      <c r="J567" s="2">
        <v>4</v>
      </c>
      <c r="K567" s="2" t="b">
        <f t="shared" si="30"/>
        <v>1</v>
      </c>
    </row>
    <row r="568" spans="1:11">
      <c r="A568" s="2">
        <v>5</v>
      </c>
      <c r="B568" s="2">
        <v>6</v>
      </c>
      <c r="C568" s="2">
        <v>6</v>
      </c>
      <c r="D568" s="2">
        <v>8</v>
      </c>
      <c r="E568" s="2">
        <v>6</v>
      </c>
      <c r="F568" s="2">
        <v>10</v>
      </c>
      <c r="G568" s="2">
        <v>4</v>
      </c>
      <c r="H568" s="2">
        <v>10</v>
      </c>
      <c r="I568" s="2">
        <v>4</v>
      </c>
      <c r="J568" s="2">
        <v>4</v>
      </c>
      <c r="K568" s="2" t="b">
        <f t="shared" si="30"/>
        <v>1</v>
      </c>
    </row>
    <row r="569" spans="1:11">
      <c r="A569" s="2">
        <v>7</v>
      </c>
      <c r="B569" s="2">
        <v>6</v>
      </c>
      <c r="C569" s="2">
        <v>3</v>
      </c>
      <c r="D569" s="2">
        <v>2</v>
      </c>
      <c r="E569" s="2">
        <v>5</v>
      </c>
      <c r="F569" s="2">
        <v>10</v>
      </c>
      <c r="G569" s="2">
        <v>7</v>
      </c>
      <c r="H569" s="2">
        <v>4</v>
      </c>
      <c r="I569" s="2">
        <v>6</v>
      </c>
      <c r="J569" s="2">
        <v>4</v>
      </c>
      <c r="K569" s="2" t="b">
        <f t="shared" si="30"/>
        <v>1</v>
      </c>
    </row>
    <row r="570" spans="1:11">
      <c r="A570" s="2">
        <v>8</v>
      </c>
      <c r="B570" s="2">
        <v>6</v>
      </c>
      <c r="C570" s="2">
        <v>7</v>
      </c>
      <c r="D570" s="2">
        <v>3</v>
      </c>
      <c r="E570" s="2">
        <v>3</v>
      </c>
      <c r="F570" s="2">
        <v>10</v>
      </c>
      <c r="G570" s="2">
        <v>3</v>
      </c>
      <c r="H570" s="2">
        <v>4</v>
      </c>
      <c r="I570" s="2">
        <v>2</v>
      </c>
      <c r="J570" s="2">
        <v>4</v>
      </c>
      <c r="K570" s="2" t="b">
        <f t="shared" si="30"/>
        <v>1</v>
      </c>
    </row>
    <row r="571" spans="1:11">
      <c r="A571" s="2">
        <v>7</v>
      </c>
      <c r="B571" s="2">
        <v>6</v>
      </c>
      <c r="C571" s="2">
        <v>4</v>
      </c>
      <c r="D571" s="2">
        <v>8</v>
      </c>
      <c r="E571" s="2">
        <v>10</v>
      </c>
      <c r="F571" s="2">
        <v>10</v>
      </c>
      <c r="G571" s="2">
        <v>9</v>
      </c>
      <c r="H571" s="2">
        <v>5</v>
      </c>
      <c r="I571" s="2">
        <v>3</v>
      </c>
      <c r="J571" s="2">
        <v>4</v>
      </c>
      <c r="K571" s="2" t="b">
        <f t="shared" si="30"/>
        <v>1</v>
      </c>
    </row>
    <row r="572" spans="1:11">
      <c r="A572" s="2">
        <v>10</v>
      </c>
      <c r="B572" s="2">
        <v>6</v>
      </c>
      <c r="C572" s="2">
        <v>3</v>
      </c>
      <c r="D572" s="2">
        <v>6</v>
      </c>
      <c r="E572" s="2">
        <v>4</v>
      </c>
      <c r="F572" s="2">
        <v>10</v>
      </c>
      <c r="G572" s="2">
        <v>7</v>
      </c>
      <c r="H572" s="2">
        <v>8</v>
      </c>
      <c r="I572" s="2">
        <v>4</v>
      </c>
      <c r="J572" s="2">
        <v>4</v>
      </c>
      <c r="K572" s="2" t="b">
        <f t="shared" si="30"/>
        <v>1</v>
      </c>
    </row>
    <row r="573" spans="1:11">
      <c r="A573" s="2">
        <v>7</v>
      </c>
      <c r="B573" s="2">
        <v>6</v>
      </c>
      <c r="C573" s="2">
        <v>6</v>
      </c>
      <c r="D573" s="2">
        <v>3</v>
      </c>
      <c r="E573" s="2">
        <v>2</v>
      </c>
      <c r="F573" s="2">
        <v>10</v>
      </c>
      <c r="G573" s="2">
        <v>7</v>
      </c>
      <c r="H573" s="2">
        <v>1</v>
      </c>
      <c r="I573" s="2">
        <v>1</v>
      </c>
      <c r="J573" s="2">
        <v>4</v>
      </c>
      <c r="K573" s="2" t="b">
        <f t="shared" si="30"/>
        <v>1</v>
      </c>
    </row>
    <row r="574" spans="1:11">
      <c r="A574" s="2">
        <v>10</v>
      </c>
      <c r="B574" s="2">
        <v>6</v>
      </c>
      <c r="C574" s="2">
        <v>5</v>
      </c>
      <c r="D574" s="2">
        <v>8</v>
      </c>
      <c r="E574" s="2">
        <v>5</v>
      </c>
      <c r="F574" s="2">
        <v>10</v>
      </c>
      <c r="G574" s="2">
        <v>8</v>
      </c>
      <c r="H574" s="2">
        <v>6</v>
      </c>
      <c r="I574" s="2">
        <v>1</v>
      </c>
      <c r="J574" s="2">
        <v>4</v>
      </c>
      <c r="K574" s="2" t="b">
        <f t="shared" si="30"/>
        <v>1</v>
      </c>
    </row>
    <row r="575" spans="1:11">
      <c r="A575" s="2">
        <v>10</v>
      </c>
      <c r="B575" s="2">
        <v>6</v>
      </c>
      <c r="C575" s="2">
        <v>6</v>
      </c>
      <c r="D575" s="2">
        <v>2</v>
      </c>
      <c r="E575" s="2">
        <v>4</v>
      </c>
      <c r="F575" s="2">
        <v>10</v>
      </c>
      <c r="G575" s="2">
        <v>9</v>
      </c>
      <c r="H575" s="2">
        <v>7</v>
      </c>
      <c r="I575" s="2">
        <v>1</v>
      </c>
      <c r="J575" s="2">
        <v>4</v>
      </c>
      <c r="K575" s="2" t="b">
        <f t="shared" si="30"/>
        <v>1</v>
      </c>
    </row>
    <row r="576" spans="1:11">
      <c r="A576" s="2">
        <v>6</v>
      </c>
      <c r="B576" s="2">
        <v>6</v>
      </c>
      <c r="C576" s="2">
        <v>6</v>
      </c>
      <c r="D576" s="2">
        <v>5</v>
      </c>
      <c r="E576" s="2">
        <v>4</v>
      </c>
      <c r="F576" s="2">
        <v>10</v>
      </c>
      <c r="G576" s="2">
        <v>7</v>
      </c>
      <c r="H576" s="2">
        <v>6</v>
      </c>
      <c r="I576" s="2">
        <v>2</v>
      </c>
      <c r="J576" s="2">
        <v>4</v>
      </c>
      <c r="K576" s="2" t="b">
        <f t="shared" si="30"/>
        <v>1</v>
      </c>
    </row>
    <row r="577" spans="1:11">
      <c r="A577" s="2">
        <v>6</v>
      </c>
      <c r="B577" s="2">
        <v>6</v>
      </c>
      <c r="C577" s="2">
        <v>7</v>
      </c>
      <c r="D577" s="2">
        <v>10</v>
      </c>
      <c r="E577" s="2">
        <v>3</v>
      </c>
      <c r="F577" s="2">
        <v>10</v>
      </c>
      <c r="G577" s="2">
        <v>8</v>
      </c>
      <c r="H577" s="2">
        <v>10</v>
      </c>
      <c r="I577" s="2">
        <v>2</v>
      </c>
      <c r="J577" s="2">
        <v>4</v>
      </c>
      <c r="K577" s="2" t="b">
        <f t="shared" si="30"/>
        <v>1</v>
      </c>
    </row>
    <row r="578" spans="1:11">
      <c r="A578" s="2">
        <v>7</v>
      </c>
      <c r="B578" s="2">
        <v>6</v>
      </c>
      <c r="C578" s="2">
        <v>10</v>
      </c>
      <c r="D578" s="2">
        <v>5</v>
      </c>
      <c r="E578" s="2">
        <v>3</v>
      </c>
      <c r="F578" s="2">
        <v>10</v>
      </c>
      <c r="G578" s="2">
        <v>9</v>
      </c>
      <c r="H578" s="2">
        <v>10</v>
      </c>
      <c r="I578" s="2">
        <v>2</v>
      </c>
      <c r="J578" s="2">
        <v>4</v>
      </c>
      <c r="K578" s="2" t="b">
        <f t="shared" si="30"/>
        <v>1</v>
      </c>
    </row>
    <row r="579" spans="1:11">
      <c r="A579" s="2">
        <v>6</v>
      </c>
      <c r="B579" s="2">
        <v>6</v>
      </c>
      <c r="C579" s="2">
        <v>6</v>
      </c>
      <c r="D579" s="2">
        <v>9</v>
      </c>
      <c r="E579" s="2">
        <v>6</v>
      </c>
      <c r="F579" s="2" t="s">
        <v>8</v>
      </c>
      <c r="G579" s="2">
        <v>7</v>
      </c>
      <c r="H579" s="2">
        <v>8</v>
      </c>
      <c r="I579" s="2">
        <v>1</v>
      </c>
      <c r="J579" s="2">
        <v>2</v>
      </c>
      <c r="K579" s="2" t="b">
        <f t="shared" ref="K579:K642" si="31">IF(J579=4, TRUE, FALSE)</f>
        <v>0</v>
      </c>
    </row>
    <row r="580" spans="1:11">
      <c r="A580" s="2">
        <v>4</v>
      </c>
      <c r="B580" s="2">
        <v>6</v>
      </c>
      <c r="C580" s="2">
        <v>5</v>
      </c>
      <c r="D580" s="2">
        <v>6</v>
      </c>
      <c r="E580" s="2">
        <v>7</v>
      </c>
      <c r="F580" s="2" t="s">
        <v>8</v>
      </c>
      <c r="G580" s="2">
        <v>4</v>
      </c>
      <c r="H580" s="2">
        <v>9</v>
      </c>
      <c r="I580" s="2">
        <v>1</v>
      </c>
      <c r="J580" s="2">
        <v>2</v>
      </c>
      <c r="K580" s="2" t="b">
        <f t="shared" si="31"/>
        <v>0</v>
      </c>
    </row>
    <row r="581" spans="1:11">
      <c r="A581" s="2">
        <v>5</v>
      </c>
      <c r="B581" s="2">
        <v>7</v>
      </c>
      <c r="C581" s="2">
        <v>4</v>
      </c>
      <c r="D581" s="2">
        <v>1</v>
      </c>
      <c r="E581" s="2">
        <v>6</v>
      </c>
      <c r="F581" s="2">
        <v>1</v>
      </c>
      <c r="G581" s="2">
        <v>7</v>
      </c>
      <c r="H581" s="2">
        <v>10</v>
      </c>
      <c r="I581" s="2">
        <v>3</v>
      </c>
      <c r="J581" s="2">
        <v>4</v>
      </c>
      <c r="K581" s="2" t="b">
        <f t="shared" si="31"/>
        <v>1</v>
      </c>
    </row>
    <row r="582" spans="1:11">
      <c r="A582" s="2">
        <v>8</v>
      </c>
      <c r="B582" s="2">
        <v>7</v>
      </c>
      <c r="C582" s="2">
        <v>8</v>
      </c>
      <c r="D582" s="2">
        <v>2</v>
      </c>
      <c r="E582" s="2">
        <v>4</v>
      </c>
      <c r="F582" s="2">
        <v>2</v>
      </c>
      <c r="G582" s="2">
        <v>5</v>
      </c>
      <c r="H582" s="2">
        <v>10</v>
      </c>
      <c r="I582" s="2">
        <v>1</v>
      </c>
      <c r="J582" s="2">
        <v>4</v>
      </c>
      <c r="K582" s="2" t="b">
        <f t="shared" si="31"/>
        <v>1</v>
      </c>
    </row>
    <row r="583" spans="1:11">
      <c r="A583" s="2">
        <v>8</v>
      </c>
      <c r="B583" s="2">
        <v>7</v>
      </c>
      <c r="C583" s="2">
        <v>4</v>
      </c>
      <c r="D583" s="2">
        <v>4</v>
      </c>
      <c r="E583" s="2">
        <v>5</v>
      </c>
      <c r="F583" s="2">
        <v>3</v>
      </c>
      <c r="G583" s="2">
        <v>5</v>
      </c>
      <c r="H583" s="2">
        <v>10</v>
      </c>
      <c r="I583" s="2">
        <v>1</v>
      </c>
      <c r="J583" s="2">
        <v>4</v>
      </c>
      <c r="K583" s="2" t="b">
        <f t="shared" si="31"/>
        <v>1</v>
      </c>
    </row>
    <row r="584" spans="1:11">
      <c r="A584" s="2">
        <v>10</v>
      </c>
      <c r="B584" s="2">
        <v>7</v>
      </c>
      <c r="C584" s="2">
        <v>7</v>
      </c>
      <c r="D584" s="2">
        <v>3</v>
      </c>
      <c r="E584" s="2">
        <v>8</v>
      </c>
      <c r="F584" s="2">
        <v>5</v>
      </c>
      <c r="G584" s="2">
        <v>7</v>
      </c>
      <c r="H584" s="2">
        <v>4</v>
      </c>
      <c r="I584" s="2">
        <v>3</v>
      </c>
      <c r="J584" s="2">
        <v>4</v>
      </c>
      <c r="K584" s="2" t="b">
        <f t="shared" si="31"/>
        <v>1</v>
      </c>
    </row>
    <row r="585" spans="1:11">
      <c r="A585" s="2">
        <v>8</v>
      </c>
      <c r="B585" s="2">
        <v>7</v>
      </c>
      <c r="C585" s="2">
        <v>8</v>
      </c>
      <c r="D585" s="2">
        <v>7</v>
      </c>
      <c r="E585" s="2">
        <v>5</v>
      </c>
      <c r="F585" s="2">
        <v>5</v>
      </c>
      <c r="G585" s="2">
        <v>5</v>
      </c>
      <c r="H585" s="2">
        <v>10</v>
      </c>
      <c r="I585" s="2">
        <v>2</v>
      </c>
      <c r="J585" s="2">
        <v>4</v>
      </c>
      <c r="K585" s="2" t="b">
        <f t="shared" si="31"/>
        <v>1</v>
      </c>
    </row>
    <row r="586" spans="1:11">
      <c r="A586" s="2">
        <v>5</v>
      </c>
      <c r="B586" s="2">
        <v>7</v>
      </c>
      <c r="C586" s="2">
        <v>7</v>
      </c>
      <c r="D586" s="2">
        <v>1</v>
      </c>
      <c r="E586" s="2">
        <v>5</v>
      </c>
      <c r="F586" s="2">
        <v>8</v>
      </c>
      <c r="G586" s="2">
        <v>3</v>
      </c>
      <c r="H586" s="2">
        <v>4</v>
      </c>
      <c r="I586" s="2">
        <v>1</v>
      </c>
      <c r="J586" s="2">
        <v>2</v>
      </c>
      <c r="K586" s="2" t="b">
        <f t="shared" si="31"/>
        <v>0</v>
      </c>
    </row>
    <row r="587" spans="1:11">
      <c r="A587" s="2">
        <v>8</v>
      </c>
      <c r="B587" s="2">
        <v>7</v>
      </c>
      <c r="C587" s="2">
        <v>5</v>
      </c>
      <c r="D587" s="2">
        <v>10</v>
      </c>
      <c r="E587" s="2">
        <v>7</v>
      </c>
      <c r="F587" s="2">
        <v>9</v>
      </c>
      <c r="G587" s="2">
        <v>5</v>
      </c>
      <c r="H587" s="2">
        <v>5</v>
      </c>
      <c r="I587" s="2">
        <v>4</v>
      </c>
      <c r="J587" s="2">
        <v>4</v>
      </c>
      <c r="K587" s="2" t="b">
        <f t="shared" si="31"/>
        <v>1</v>
      </c>
    </row>
    <row r="588" spans="1:11">
      <c r="A588" s="2">
        <v>3</v>
      </c>
      <c r="B588" s="2">
        <v>7</v>
      </c>
      <c r="C588" s="2">
        <v>7</v>
      </c>
      <c r="D588" s="2">
        <v>4</v>
      </c>
      <c r="E588" s="2">
        <v>4</v>
      </c>
      <c r="F588" s="2">
        <v>9</v>
      </c>
      <c r="G588" s="2">
        <v>4</v>
      </c>
      <c r="H588" s="2">
        <v>8</v>
      </c>
      <c r="I588" s="2">
        <v>1</v>
      </c>
      <c r="J588" s="2">
        <v>4</v>
      </c>
      <c r="K588" s="2" t="b">
        <f t="shared" si="31"/>
        <v>1</v>
      </c>
    </row>
    <row r="589" spans="1:11">
      <c r="A589" s="2">
        <v>10</v>
      </c>
      <c r="B589" s="2">
        <v>7</v>
      </c>
      <c r="C589" s="2">
        <v>7</v>
      </c>
      <c r="D589" s="2">
        <v>6</v>
      </c>
      <c r="E589" s="2">
        <v>4</v>
      </c>
      <c r="F589" s="2">
        <v>10</v>
      </c>
      <c r="G589" s="2">
        <v>4</v>
      </c>
      <c r="H589" s="2">
        <v>1</v>
      </c>
      <c r="I589" s="2">
        <v>2</v>
      </c>
      <c r="J589" s="2">
        <v>4</v>
      </c>
      <c r="K589" s="2" t="b">
        <f t="shared" si="31"/>
        <v>1</v>
      </c>
    </row>
    <row r="590" spans="1:11">
      <c r="A590" s="2">
        <v>10</v>
      </c>
      <c r="B590" s="2">
        <v>7</v>
      </c>
      <c r="C590" s="2">
        <v>7</v>
      </c>
      <c r="D590" s="2">
        <v>4</v>
      </c>
      <c r="E590" s="2">
        <v>5</v>
      </c>
      <c r="F590" s="2">
        <v>10</v>
      </c>
      <c r="G590" s="2">
        <v>5</v>
      </c>
      <c r="H590" s="2">
        <v>7</v>
      </c>
      <c r="I590" s="2">
        <v>2</v>
      </c>
      <c r="J590" s="2">
        <v>4</v>
      </c>
      <c r="K590" s="2" t="b">
        <f t="shared" si="31"/>
        <v>1</v>
      </c>
    </row>
    <row r="591" spans="1:11">
      <c r="A591" s="2">
        <v>8</v>
      </c>
      <c r="B591" s="2">
        <v>7</v>
      </c>
      <c r="C591" s="2">
        <v>6</v>
      </c>
      <c r="D591" s="2">
        <v>4</v>
      </c>
      <c r="E591" s="2">
        <v>4</v>
      </c>
      <c r="F591" s="2">
        <v>10</v>
      </c>
      <c r="G591" s="2">
        <v>5</v>
      </c>
      <c r="H591" s="2">
        <v>1</v>
      </c>
      <c r="I591" s="2">
        <v>1</v>
      </c>
      <c r="J591" s="2">
        <v>4</v>
      </c>
      <c r="K591" s="2" t="b">
        <f t="shared" si="31"/>
        <v>1</v>
      </c>
    </row>
    <row r="592" spans="1:11">
      <c r="A592" s="2">
        <v>9</v>
      </c>
      <c r="B592" s="2">
        <v>7</v>
      </c>
      <c r="C592" s="2">
        <v>7</v>
      </c>
      <c r="D592" s="2">
        <v>5</v>
      </c>
      <c r="E592" s="2">
        <v>5</v>
      </c>
      <c r="F592" s="2">
        <v>10</v>
      </c>
      <c r="G592" s="2">
        <v>7</v>
      </c>
      <c r="H592" s="2">
        <v>8</v>
      </c>
      <c r="I592" s="2">
        <v>3</v>
      </c>
      <c r="J592" s="2">
        <v>4</v>
      </c>
      <c r="K592" s="2" t="b">
        <f t="shared" si="31"/>
        <v>1</v>
      </c>
    </row>
    <row r="593" spans="1:11">
      <c r="A593" s="2">
        <v>2</v>
      </c>
      <c r="B593" s="2">
        <v>7</v>
      </c>
      <c r="C593" s="2">
        <v>10</v>
      </c>
      <c r="D593" s="2">
        <v>10</v>
      </c>
      <c r="E593" s="2">
        <v>7</v>
      </c>
      <c r="F593" s="2">
        <v>10</v>
      </c>
      <c r="G593" s="2">
        <v>4</v>
      </c>
      <c r="H593" s="2">
        <v>9</v>
      </c>
      <c r="I593" s="2">
        <v>4</v>
      </c>
      <c r="J593" s="2">
        <v>4</v>
      </c>
      <c r="K593" s="2" t="b">
        <f t="shared" si="31"/>
        <v>1</v>
      </c>
    </row>
    <row r="594" spans="1:11">
      <c r="A594" s="2">
        <v>8</v>
      </c>
      <c r="B594" s="2">
        <v>7</v>
      </c>
      <c r="C594" s="2">
        <v>8</v>
      </c>
      <c r="D594" s="2">
        <v>5</v>
      </c>
      <c r="E594" s="2">
        <v>10</v>
      </c>
      <c r="F594" s="2">
        <v>10</v>
      </c>
      <c r="G594" s="2">
        <v>7</v>
      </c>
      <c r="H594" s="2">
        <v>2</v>
      </c>
      <c r="I594" s="2">
        <v>1</v>
      </c>
      <c r="J594" s="2">
        <v>4</v>
      </c>
      <c r="K594" s="2" t="b">
        <f t="shared" si="31"/>
        <v>1</v>
      </c>
    </row>
    <row r="595" spans="1:11">
      <c r="A595" s="2">
        <v>5</v>
      </c>
      <c r="B595" s="2">
        <v>7</v>
      </c>
      <c r="C595" s="2">
        <v>9</v>
      </c>
      <c r="D595" s="2">
        <v>8</v>
      </c>
      <c r="E595" s="2">
        <v>6</v>
      </c>
      <c r="F595" s="2">
        <v>10</v>
      </c>
      <c r="G595" s="2">
        <v>8</v>
      </c>
      <c r="H595" s="2">
        <v>10</v>
      </c>
      <c r="I595" s="2">
        <v>1</v>
      </c>
      <c r="J595" s="2">
        <v>4</v>
      </c>
      <c r="K595" s="2" t="b">
        <f t="shared" si="31"/>
        <v>1</v>
      </c>
    </row>
    <row r="596" spans="1:11">
      <c r="A596" s="2">
        <v>8</v>
      </c>
      <c r="B596" s="2">
        <v>7</v>
      </c>
      <c r="C596" s="2">
        <v>8</v>
      </c>
      <c r="D596" s="2">
        <v>5</v>
      </c>
      <c r="E596" s="2">
        <v>5</v>
      </c>
      <c r="F596" s="2">
        <v>10</v>
      </c>
      <c r="G596" s="2">
        <v>9</v>
      </c>
      <c r="H596" s="2">
        <v>10</v>
      </c>
      <c r="I596" s="2">
        <v>1</v>
      </c>
      <c r="J596" s="2">
        <v>4</v>
      </c>
      <c r="K596" s="2" t="b">
        <f t="shared" si="31"/>
        <v>1</v>
      </c>
    </row>
    <row r="597" spans="1:11">
      <c r="A597" s="2">
        <v>4</v>
      </c>
      <c r="B597" s="2">
        <v>7</v>
      </c>
      <c r="C597" s="2">
        <v>8</v>
      </c>
      <c r="D597" s="2">
        <v>3</v>
      </c>
      <c r="E597" s="2">
        <v>4</v>
      </c>
      <c r="F597" s="2">
        <v>10</v>
      </c>
      <c r="G597" s="2">
        <v>9</v>
      </c>
      <c r="H597" s="2">
        <v>1</v>
      </c>
      <c r="I597" s="2">
        <v>1</v>
      </c>
      <c r="J597" s="2">
        <v>4</v>
      </c>
      <c r="K597" s="2" t="b">
        <f t="shared" si="31"/>
        <v>1</v>
      </c>
    </row>
    <row r="598" spans="1:11">
      <c r="A598" s="2">
        <v>5</v>
      </c>
      <c r="B598" s="2">
        <v>7</v>
      </c>
      <c r="C598" s="2">
        <v>10</v>
      </c>
      <c r="D598" s="2">
        <v>10</v>
      </c>
      <c r="E598" s="2">
        <v>5</v>
      </c>
      <c r="F598" s="2">
        <v>10</v>
      </c>
      <c r="G598" s="2">
        <v>10</v>
      </c>
      <c r="H598" s="2">
        <v>10</v>
      </c>
      <c r="I598" s="2">
        <v>1</v>
      </c>
      <c r="J598" s="2">
        <v>4</v>
      </c>
      <c r="K598" s="2" t="b">
        <f t="shared" si="31"/>
        <v>1</v>
      </c>
    </row>
    <row r="599" spans="1:11">
      <c r="A599" s="2">
        <v>5</v>
      </c>
      <c r="B599" s="2">
        <v>7</v>
      </c>
      <c r="C599" s="2">
        <v>10</v>
      </c>
      <c r="D599" s="2">
        <v>6</v>
      </c>
      <c r="E599" s="2">
        <v>5</v>
      </c>
      <c r="F599" s="2">
        <v>10</v>
      </c>
      <c r="G599" s="2">
        <v>7</v>
      </c>
      <c r="H599" s="2">
        <v>5</v>
      </c>
      <c r="I599" s="2">
        <v>1</v>
      </c>
      <c r="J599" s="2">
        <v>4</v>
      </c>
      <c r="K599" s="2" t="b">
        <f t="shared" si="31"/>
        <v>1</v>
      </c>
    </row>
    <row r="600" spans="1:11">
      <c r="A600" s="2">
        <v>4</v>
      </c>
      <c r="B600" s="2">
        <v>8</v>
      </c>
      <c r="C600" s="2">
        <v>6</v>
      </c>
      <c r="D600" s="2">
        <v>4</v>
      </c>
      <c r="E600" s="2">
        <v>3</v>
      </c>
      <c r="F600" s="2">
        <v>4</v>
      </c>
      <c r="G600" s="2">
        <v>10</v>
      </c>
      <c r="H600" s="2">
        <v>6</v>
      </c>
      <c r="I600" s="2">
        <v>1</v>
      </c>
      <c r="J600" s="2">
        <v>4</v>
      </c>
      <c r="K600" s="2" t="b">
        <f t="shared" si="31"/>
        <v>1</v>
      </c>
    </row>
    <row r="601" spans="1:11">
      <c r="A601" s="2">
        <v>4</v>
      </c>
      <c r="B601" s="2">
        <v>8</v>
      </c>
      <c r="C601" s="2">
        <v>8</v>
      </c>
      <c r="D601" s="2">
        <v>5</v>
      </c>
      <c r="E601" s="2">
        <v>4</v>
      </c>
      <c r="F601" s="2">
        <v>5</v>
      </c>
      <c r="G601" s="2">
        <v>10</v>
      </c>
      <c r="H601" s="2">
        <v>4</v>
      </c>
      <c r="I601" s="2">
        <v>1</v>
      </c>
      <c r="J601" s="2">
        <v>4</v>
      </c>
      <c r="K601" s="2" t="b">
        <f t="shared" si="31"/>
        <v>1</v>
      </c>
    </row>
    <row r="602" spans="1:11">
      <c r="A602" s="2">
        <v>4</v>
      </c>
      <c r="B602" s="2">
        <v>8</v>
      </c>
      <c r="C602" s="2">
        <v>7</v>
      </c>
      <c r="D602" s="2">
        <v>10</v>
      </c>
      <c r="E602" s="2">
        <v>4</v>
      </c>
      <c r="F602" s="2">
        <v>10</v>
      </c>
      <c r="G602" s="2">
        <v>7</v>
      </c>
      <c r="H602" s="2">
        <v>5</v>
      </c>
      <c r="I602" s="2">
        <v>1</v>
      </c>
      <c r="J602" s="2">
        <v>4</v>
      </c>
      <c r="K602" s="2" t="b">
        <f t="shared" si="31"/>
        <v>1</v>
      </c>
    </row>
    <row r="603" spans="1:11">
      <c r="A603" s="2">
        <v>4</v>
      </c>
      <c r="B603" s="2">
        <v>8</v>
      </c>
      <c r="C603" s="2">
        <v>6</v>
      </c>
      <c r="D603" s="2">
        <v>3</v>
      </c>
      <c r="E603" s="2">
        <v>4</v>
      </c>
      <c r="F603" s="2">
        <v>10</v>
      </c>
      <c r="G603" s="2">
        <v>7</v>
      </c>
      <c r="H603" s="2">
        <v>1</v>
      </c>
      <c r="I603" s="2">
        <v>1</v>
      </c>
      <c r="J603" s="2">
        <v>4</v>
      </c>
      <c r="K603" s="2" t="b">
        <f t="shared" si="31"/>
        <v>1</v>
      </c>
    </row>
    <row r="604" spans="1:11">
      <c r="A604" s="2">
        <v>5</v>
      </c>
      <c r="B604" s="2">
        <v>8</v>
      </c>
      <c r="C604" s="2">
        <v>4</v>
      </c>
      <c r="D604" s="2">
        <v>10</v>
      </c>
      <c r="E604" s="2">
        <v>5</v>
      </c>
      <c r="F604" s="2">
        <v>8</v>
      </c>
      <c r="G604" s="2">
        <v>9</v>
      </c>
      <c r="H604" s="2">
        <v>10</v>
      </c>
      <c r="I604" s="2">
        <v>1</v>
      </c>
      <c r="J604" s="2">
        <v>4</v>
      </c>
      <c r="K604" s="2" t="b">
        <f t="shared" si="31"/>
        <v>1</v>
      </c>
    </row>
    <row r="605" spans="1:11">
      <c r="A605" s="2">
        <v>5</v>
      </c>
      <c r="B605" s="2">
        <v>8</v>
      </c>
      <c r="C605" s="2">
        <v>7</v>
      </c>
      <c r="D605" s="2">
        <v>7</v>
      </c>
      <c r="E605" s="2">
        <v>10</v>
      </c>
      <c r="F605" s="2">
        <v>10</v>
      </c>
      <c r="G605" s="2">
        <v>5</v>
      </c>
      <c r="H605" s="2">
        <v>7</v>
      </c>
      <c r="I605" s="2">
        <v>1</v>
      </c>
      <c r="J605" s="2">
        <v>4</v>
      </c>
      <c r="K605" s="2" t="b">
        <f t="shared" si="31"/>
        <v>1</v>
      </c>
    </row>
    <row r="606" spans="1:11">
      <c r="A606" s="2">
        <v>5</v>
      </c>
      <c r="B606" s="2">
        <v>8</v>
      </c>
      <c r="C606" s="2">
        <v>8</v>
      </c>
      <c r="D606" s="2">
        <v>8</v>
      </c>
      <c r="E606" s="2">
        <v>5</v>
      </c>
      <c r="F606" s="2">
        <v>10</v>
      </c>
      <c r="G606" s="2">
        <v>7</v>
      </c>
      <c r="H606" s="2">
        <v>8</v>
      </c>
      <c r="I606" s="2">
        <v>1</v>
      </c>
      <c r="J606" s="2">
        <v>4</v>
      </c>
      <c r="K606" s="2" t="b">
        <f t="shared" si="31"/>
        <v>1</v>
      </c>
    </row>
    <row r="607" spans="1:11">
      <c r="A607" s="2">
        <v>5</v>
      </c>
      <c r="B607" s="2">
        <v>8</v>
      </c>
      <c r="C607" s="2">
        <v>8</v>
      </c>
      <c r="D607" s="2">
        <v>10</v>
      </c>
      <c r="E607" s="2">
        <v>5</v>
      </c>
      <c r="F607" s="2">
        <v>10</v>
      </c>
      <c r="G607" s="2">
        <v>8</v>
      </c>
      <c r="H607" s="2">
        <v>10</v>
      </c>
      <c r="I607" s="2">
        <v>3</v>
      </c>
      <c r="J607" s="2">
        <v>4</v>
      </c>
      <c r="K607" s="2" t="b">
        <f t="shared" si="31"/>
        <v>1</v>
      </c>
    </row>
    <row r="608" spans="1:11">
      <c r="A608" s="2">
        <v>5</v>
      </c>
      <c r="B608" s="2">
        <v>8</v>
      </c>
      <c r="C608" s="2">
        <v>9</v>
      </c>
      <c r="D608" s="2">
        <v>4</v>
      </c>
      <c r="E608" s="2">
        <v>3</v>
      </c>
      <c r="F608" s="2">
        <v>10</v>
      </c>
      <c r="G608" s="2">
        <v>7</v>
      </c>
      <c r="H608" s="2">
        <v>1</v>
      </c>
      <c r="I608" s="2">
        <v>1</v>
      </c>
      <c r="J608" s="2">
        <v>4</v>
      </c>
      <c r="K608" s="2" t="b">
        <f t="shared" si="31"/>
        <v>1</v>
      </c>
    </row>
    <row r="609" spans="1:11">
      <c r="A609" s="2">
        <v>6</v>
      </c>
      <c r="B609" s="2">
        <v>8</v>
      </c>
      <c r="C609" s="2">
        <v>7</v>
      </c>
      <c r="D609" s="2">
        <v>5</v>
      </c>
      <c r="E609" s="2">
        <v>6</v>
      </c>
      <c r="F609" s="2">
        <v>8</v>
      </c>
      <c r="G609" s="2">
        <v>8</v>
      </c>
      <c r="H609" s="2">
        <v>9</v>
      </c>
      <c r="I609" s="2">
        <v>2</v>
      </c>
      <c r="J609" s="2">
        <v>4</v>
      </c>
      <c r="K609" s="2" t="b">
        <f t="shared" si="31"/>
        <v>1</v>
      </c>
    </row>
    <row r="610" spans="1:11">
      <c r="A610" s="2">
        <v>6</v>
      </c>
      <c r="B610" s="2">
        <v>8</v>
      </c>
      <c r="C610" s="2">
        <v>7</v>
      </c>
      <c r="D610" s="2">
        <v>8</v>
      </c>
      <c r="E610" s="2">
        <v>6</v>
      </c>
      <c r="F610" s="2">
        <v>8</v>
      </c>
      <c r="G610" s="2">
        <v>8</v>
      </c>
      <c r="H610" s="2">
        <v>9</v>
      </c>
      <c r="I610" s="2">
        <v>1</v>
      </c>
      <c r="J610" s="2">
        <v>4</v>
      </c>
      <c r="K610" s="2" t="b">
        <f t="shared" si="31"/>
        <v>1</v>
      </c>
    </row>
    <row r="611" spans="1:11">
      <c r="A611" s="2">
        <v>6</v>
      </c>
      <c r="B611" s="2">
        <v>8</v>
      </c>
      <c r="C611" s="2">
        <v>8</v>
      </c>
      <c r="D611" s="2">
        <v>1</v>
      </c>
      <c r="E611" s="2">
        <v>3</v>
      </c>
      <c r="F611" s="2">
        <v>4</v>
      </c>
      <c r="G611" s="2">
        <v>3</v>
      </c>
      <c r="H611" s="2">
        <v>7</v>
      </c>
      <c r="I611" s="2">
        <v>1</v>
      </c>
      <c r="J611" s="2">
        <v>2</v>
      </c>
      <c r="K611" s="2" t="b">
        <f t="shared" si="31"/>
        <v>0</v>
      </c>
    </row>
    <row r="612" spans="1:11">
      <c r="A612" s="2">
        <v>7</v>
      </c>
      <c r="B612" s="2">
        <v>8</v>
      </c>
      <c r="C612" s="2">
        <v>7</v>
      </c>
      <c r="D612" s="2">
        <v>6</v>
      </c>
      <c r="E612" s="2">
        <v>4</v>
      </c>
      <c r="F612" s="2">
        <v>3</v>
      </c>
      <c r="G612" s="2">
        <v>8</v>
      </c>
      <c r="H612" s="2">
        <v>8</v>
      </c>
      <c r="I612" s="2">
        <v>4</v>
      </c>
      <c r="J612" s="2">
        <v>4</v>
      </c>
      <c r="K612" s="2" t="b">
        <f t="shared" si="31"/>
        <v>1</v>
      </c>
    </row>
    <row r="613" spans="1:11">
      <c r="A613" s="2">
        <v>7</v>
      </c>
      <c r="B613" s="2">
        <v>8</v>
      </c>
      <c r="C613" s="2">
        <v>3</v>
      </c>
      <c r="D613" s="2">
        <v>7</v>
      </c>
      <c r="E613" s="2">
        <v>4</v>
      </c>
      <c r="F613" s="2">
        <v>5</v>
      </c>
      <c r="G613" s="2">
        <v>7</v>
      </c>
      <c r="H613" s="2">
        <v>8</v>
      </c>
      <c r="I613" s="2">
        <v>2</v>
      </c>
      <c r="J613" s="2">
        <v>4</v>
      </c>
      <c r="K613" s="2" t="b">
        <f t="shared" si="31"/>
        <v>1</v>
      </c>
    </row>
    <row r="614" spans="1:11">
      <c r="A614" s="2">
        <v>7</v>
      </c>
      <c r="B614" s="2">
        <v>8</v>
      </c>
      <c r="C614" s="2">
        <v>7</v>
      </c>
      <c r="D614" s="2">
        <v>2</v>
      </c>
      <c r="E614" s="2">
        <v>4</v>
      </c>
      <c r="F614" s="2">
        <v>8</v>
      </c>
      <c r="G614" s="2">
        <v>3</v>
      </c>
      <c r="H614" s="2">
        <v>8</v>
      </c>
      <c r="I614" s="2">
        <v>2</v>
      </c>
      <c r="J614" s="2">
        <v>4</v>
      </c>
      <c r="K614" s="2" t="b">
        <f t="shared" si="31"/>
        <v>1</v>
      </c>
    </row>
    <row r="615" spans="1:11">
      <c r="A615" s="2">
        <v>7</v>
      </c>
      <c r="B615" s="2">
        <v>8</v>
      </c>
      <c r="C615" s="2">
        <v>8</v>
      </c>
      <c r="D615" s="2">
        <v>7</v>
      </c>
      <c r="E615" s="2">
        <v>3</v>
      </c>
      <c r="F615" s="2">
        <v>10</v>
      </c>
      <c r="G615" s="2">
        <v>7</v>
      </c>
      <c r="H615" s="2">
        <v>2</v>
      </c>
      <c r="I615" s="2">
        <v>3</v>
      </c>
      <c r="J615" s="2">
        <v>4</v>
      </c>
      <c r="K615" s="2" t="b">
        <f t="shared" si="31"/>
        <v>1</v>
      </c>
    </row>
    <row r="616" spans="1:11">
      <c r="A616" s="2">
        <v>8</v>
      </c>
      <c r="B616" s="2">
        <v>8</v>
      </c>
      <c r="C616" s="2">
        <v>9</v>
      </c>
      <c r="D616" s="2">
        <v>6</v>
      </c>
      <c r="E616" s="2">
        <v>6</v>
      </c>
      <c r="F616" s="2">
        <v>3</v>
      </c>
      <c r="G616" s="2">
        <v>10</v>
      </c>
      <c r="H616" s="2">
        <v>10</v>
      </c>
      <c r="I616" s="2">
        <v>1</v>
      </c>
      <c r="J616" s="2">
        <v>4</v>
      </c>
      <c r="K616" s="2" t="b">
        <f t="shared" si="31"/>
        <v>1</v>
      </c>
    </row>
    <row r="617" spans="1:11">
      <c r="A617" s="2">
        <v>8</v>
      </c>
      <c r="B617" s="2">
        <v>8</v>
      </c>
      <c r="C617" s="2">
        <v>7</v>
      </c>
      <c r="D617" s="2">
        <v>4</v>
      </c>
      <c r="E617" s="2">
        <v>10</v>
      </c>
      <c r="F617" s="2">
        <v>10</v>
      </c>
      <c r="G617" s="2">
        <v>7</v>
      </c>
      <c r="H617" s="2">
        <v>8</v>
      </c>
      <c r="I617" s="2">
        <v>7</v>
      </c>
      <c r="J617" s="2">
        <v>4</v>
      </c>
      <c r="K617" s="2" t="b">
        <f t="shared" si="31"/>
        <v>1</v>
      </c>
    </row>
    <row r="618" spans="1:11">
      <c r="A618" s="2">
        <v>8</v>
      </c>
      <c r="B618" s="2">
        <v>8</v>
      </c>
      <c r="C618" s="2">
        <v>9</v>
      </c>
      <c r="D618" s="2">
        <v>4</v>
      </c>
      <c r="E618" s="2">
        <v>5</v>
      </c>
      <c r="F618" s="2">
        <v>10</v>
      </c>
      <c r="G618" s="2">
        <v>7</v>
      </c>
      <c r="H618" s="2">
        <v>8</v>
      </c>
      <c r="I618" s="2">
        <v>1</v>
      </c>
      <c r="J618" s="2">
        <v>4</v>
      </c>
      <c r="K618" s="2" t="b">
        <f t="shared" si="31"/>
        <v>1</v>
      </c>
    </row>
    <row r="619" spans="1:11">
      <c r="A619" s="2">
        <v>8</v>
      </c>
      <c r="B619" s="2">
        <v>8</v>
      </c>
      <c r="C619" s="2">
        <v>8</v>
      </c>
      <c r="D619" s="2">
        <v>1</v>
      </c>
      <c r="E619" s="2">
        <v>2</v>
      </c>
      <c r="F619" s="2" t="s">
        <v>8</v>
      </c>
      <c r="G619" s="2">
        <v>6</v>
      </c>
      <c r="H619" s="2">
        <v>10</v>
      </c>
      <c r="I619" s="2">
        <v>1</v>
      </c>
      <c r="J619" s="2">
        <v>4</v>
      </c>
      <c r="K619" s="2" t="b">
        <f t="shared" si="31"/>
        <v>1</v>
      </c>
    </row>
    <row r="620" spans="1:11">
      <c r="A620" s="2">
        <v>9</v>
      </c>
      <c r="B620" s="2">
        <v>8</v>
      </c>
      <c r="C620" s="2">
        <v>8</v>
      </c>
      <c r="D620" s="2">
        <v>5</v>
      </c>
      <c r="E620" s="2">
        <v>6</v>
      </c>
      <c r="F620" s="2">
        <v>2</v>
      </c>
      <c r="G620" s="2">
        <v>4</v>
      </c>
      <c r="H620" s="2">
        <v>10</v>
      </c>
      <c r="I620" s="2">
        <v>4</v>
      </c>
      <c r="J620" s="2">
        <v>4</v>
      </c>
      <c r="K620" s="2" t="b">
        <f t="shared" si="31"/>
        <v>1</v>
      </c>
    </row>
    <row r="621" spans="1:11">
      <c r="A621" s="2">
        <v>9</v>
      </c>
      <c r="B621" s="2">
        <v>8</v>
      </c>
      <c r="C621" s="2">
        <v>8</v>
      </c>
      <c r="D621" s="2">
        <v>9</v>
      </c>
      <c r="E621" s="2">
        <v>6</v>
      </c>
      <c r="F621" s="2">
        <v>3</v>
      </c>
      <c r="G621" s="2">
        <v>4</v>
      </c>
      <c r="H621" s="2">
        <v>1</v>
      </c>
      <c r="I621" s="2">
        <v>1</v>
      </c>
      <c r="J621" s="2">
        <v>4</v>
      </c>
      <c r="K621" s="2" t="b">
        <f t="shared" si="31"/>
        <v>1</v>
      </c>
    </row>
    <row r="622" spans="1:11">
      <c r="A622" s="2">
        <v>10</v>
      </c>
      <c r="B622" s="2">
        <v>8</v>
      </c>
      <c r="C622" s="2">
        <v>10</v>
      </c>
      <c r="D622" s="2">
        <v>10</v>
      </c>
      <c r="E622" s="2">
        <v>6</v>
      </c>
      <c r="F622" s="2">
        <v>1</v>
      </c>
      <c r="G622" s="2">
        <v>3</v>
      </c>
      <c r="H622" s="2">
        <v>1</v>
      </c>
      <c r="I622" s="2">
        <v>10</v>
      </c>
      <c r="J622" s="2">
        <v>4</v>
      </c>
      <c r="K622" s="2" t="b">
        <f t="shared" si="31"/>
        <v>1</v>
      </c>
    </row>
    <row r="623" spans="1:11">
      <c r="A623" s="2">
        <v>10</v>
      </c>
      <c r="B623" s="2">
        <v>8</v>
      </c>
      <c r="C623" s="2">
        <v>8</v>
      </c>
      <c r="D623" s="2">
        <v>2</v>
      </c>
      <c r="E623" s="2">
        <v>3</v>
      </c>
      <c r="F623" s="2">
        <v>4</v>
      </c>
      <c r="G623" s="2">
        <v>8</v>
      </c>
      <c r="H623" s="2">
        <v>7</v>
      </c>
      <c r="I623" s="2">
        <v>8</v>
      </c>
      <c r="J623" s="2">
        <v>4</v>
      </c>
      <c r="K623" s="2" t="b">
        <f t="shared" si="31"/>
        <v>1</v>
      </c>
    </row>
    <row r="624" spans="1:11">
      <c r="A624" s="2">
        <v>10</v>
      </c>
      <c r="B624" s="2">
        <v>8</v>
      </c>
      <c r="C624" s="2">
        <v>8</v>
      </c>
      <c r="D624" s="2">
        <v>4</v>
      </c>
      <c r="E624" s="2">
        <v>10</v>
      </c>
      <c r="F624" s="2">
        <v>10</v>
      </c>
      <c r="G624" s="2">
        <v>8</v>
      </c>
      <c r="H624" s="2">
        <v>1</v>
      </c>
      <c r="I624" s="2">
        <v>1</v>
      </c>
      <c r="J624" s="2">
        <v>4</v>
      </c>
      <c r="K624" s="2" t="b">
        <f t="shared" si="31"/>
        <v>1</v>
      </c>
    </row>
    <row r="625" spans="1:11">
      <c r="A625" s="2">
        <v>10</v>
      </c>
      <c r="B625" s="2">
        <v>8</v>
      </c>
      <c r="C625" s="2">
        <v>8</v>
      </c>
      <c r="D625" s="2">
        <v>2</v>
      </c>
      <c r="E625" s="2">
        <v>8</v>
      </c>
      <c r="F625" s="2">
        <v>10</v>
      </c>
      <c r="G625" s="2">
        <v>4</v>
      </c>
      <c r="H625" s="2">
        <v>8</v>
      </c>
      <c r="I625" s="2">
        <v>10</v>
      </c>
      <c r="J625" s="2">
        <v>4</v>
      </c>
      <c r="K625" s="2" t="b">
        <f t="shared" si="31"/>
        <v>1</v>
      </c>
    </row>
    <row r="626" spans="1:11">
      <c r="A626" s="2">
        <v>10</v>
      </c>
      <c r="B626" s="2">
        <v>8</v>
      </c>
      <c r="C626" s="2">
        <v>4</v>
      </c>
      <c r="D626" s="2">
        <v>4</v>
      </c>
      <c r="E626" s="2">
        <v>4</v>
      </c>
      <c r="F626" s="2">
        <v>10</v>
      </c>
      <c r="G626" s="2">
        <v>3</v>
      </c>
      <c r="H626" s="2">
        <v>10</v>
      </c>
      <c r="I626" s="2">
        <v>4</v>
      </c>
      <c r="J626" s="2">
        <v>4</v>
      </c>
      <c r="K626" s="2" t="b">
        <f t="shared" si="31"/>
        <v>1</v>
      </c>
    </row>
    <row r="627" spans="1:11">
      <c r="A627" s="2">
        <v>10</v>
      </c>
      <c r="B627" s="2">
        <v>8</v>
      </c>
      <c r="C627" s="2">
        <v>7</v>
      </c>
      <c r="D627" s="2">
        <v>4</v>
      </c>
      <c r="E627" s="2">
        <v>3</v>
      </c>
      <c r="F627" s="2">
        <v>10</v>
      </c>
      <c r="G627" s="2">
        <v>7</v>
      </c>
      <c r="H627" s="2">
        <v>9</v>
      </c>
      <c r="I627" s="2">
        <v>1</v>
      </c>
      <c r="J627" s="2">
        <v>4</v>
      </c>
      <c r="K627" s="2" t="b">
        <f t="shared" si="31"/>
        <v>1</v>
      </c>
    </row>
    <row r="628" spans="1:11">
      <c r="A628" s="2">
        <v>10</v>
      </c>
      <c r="B628" s="2">
        <v>8</v>
      </c>
      <c r="C628" s="2">
        <v>10</v>
      </c>
      <c r="D628" s="2">
        <v>1</v>
      </c>
      <c r="E628" s="2">
        <v>3</v>
      </c>
      <c r="F628" s="2">
        <v>10</v>
      </c>
      <c r="G628" s="2">
        <v>5</v>
      </c>
      <c r="H628" s="2">
        <v>1</v>
      </c>
      <c r="I628" s="2">
        <v>1</v>
      </c>
      <c r="J628" s="2">
        <v>4</v>
      </c>
      <c r="K628" s="2" t="b">
        <f t="shared" si="31"/>
        <v>1</v>
      </c>
    </row>
    <row r="629" spans="1:11">
      <c r="A629" s="2">
        <v>6</v>
      </c>
      <c r="B629" s="2">
        <v>9</v>
      </c>
      <c r="C629" s="2">
        <v>7</v>
      </c>
      <c r="D629" s="2">
        <v>5</v>
      </c>
      <c r="E629" s="2">
        <v>5</v>
      </c>
      <c r="F629" s="2">
        <v>8</v>
      </c>
      <c r="G629" s="2">
        <v>4</v>
      </c>
      <c r="H629" s="2">
        <v>2</v>
      </c>
      <c r="I629" s="2">
        <v>1</v>
      </c>
      <c r="J629" s="2">
        <v>2</v>
      </c>
      <c r="K629" s="2" t="b">
        <f t="shared" si="31"/>
        <v>0</v>
      </c>
    </row>
    <row r="630" spans="1:11">
      <c r="A630" s="2">
        <v>7</v>
      </c>
      <c r="B630" s="2">
        <v>9</v>
      </c>
      <c r="C630" s="2">
        <v>4</v>
      </c>
      <c r="D630" s="2">
        <v>10</v>
      </c>
      <c r="E630" s="2">
        <v>10</v>
      </c>
      <c r="F630" s="2">
        <v>3</v>
      </c>
      <c r="G630" s="2">
        <v>5</v>
      </c>
      <c r="H630" s="2">
        <v>3</v>
      </c>
      <c r="I630" s="2">
        <v>3</v>
      </c>
      <c r="J630" s="2">
        <v>4</v>
      </c>
      <c r="K630" s="2" t="b">
        <f t="shared" si="31"/>
        <v>1</v>
      </c>
    </row>
    <row r="631" spans="1:11">
      <c r="A631" s="2">
        <v>8</v>
      </c>
      <c r="B631" s="2">
        <v>9</v>
      </c>
      <c r="C631" s="2">
        <v>9</v>
      </c>
      <c r="D631" s="2">
        <v>5</v>
      </c>
      <c r="E631" s="2">
        <v>3</v>
      </c>
      <c r="F631" s="2">
        <v>5</v>
      </c>
      <c r="G631" s="2">
        <v>7</v>
      </c>
      <c r="H631" s="2">
        <v>7</v>
      </c>
      <c r="I631" s="2">
        <v>1</v>
      </c>
      <c r="J631" s="2">
        <v>4</v>
      </c>
      <c r="K631" s="2" t="b">
        <f t="shared" si="31"/>
        <v>1</v>
      </c>
    </row>
    <row r="632" spans="1:11">
      <c r="A632" s="2">
        <v>9</v>
      </c>
      <c r="B632" s="2">
        <v>9</v>
      </c>
      <c r="C632" s="2">
        <v>10</v>
      </c>
      <c r="D632" s="2">
        <v>3</v>
      </c>
      <c r="E632" s="2">
        <v>6</v>
      </c>
      <c r="F632" s="2">
        <v>10</v>
      </c>
      <c r="G632" s="2">
        <v>7</v>
      </c>
      <c r="H632" s="2">
        <v>10</v>
      </c>
      <c r="I632" s="2">
        <v>6</v>
      </c>
      <c r="J632" s="2">
        <v>4</v>
      </c>
      <c r="K632" s="2" t="b">
        <f t="shared" si="31"/>
        <v>1</v>
      </c>
    </row>
    <row r="633" spans="1:11">
      <c r="A633" s="2">
        <v>10</v>
      </c>
      <c r="B633" s="2">
        <v>9</v>
      </c>
      <c r="C633" s="2">
        <v>7</v>
      </c>
      <c r="D633" s="2">
        <v>3</v>
      </c>
      <c r="E633" s="2">
        <v>4</v>
      </c>
      <c r="F633" s="2">
        <v>2</v>
      </c>
      <c r="G633" s="2">
        <v>7</v>
      </c>
      <c r="H633" s="2">
        <v>7</v>
      </c>
      <c r="I633" s="2">
        <v>1</v>
      </c>
      <c r="J633" s="2">
        <v>4</v>
      </c>
      <c r="K633" s="2" t="b">
        <f t="shared" si="31"/>
        <v>1</v>
      </c>
    </row>
    <row r="634" spans="1:11">
      <c r="A634" s="2">
        <v>10</v>
      </c>
      <c r="B634" s="2">
        <v>9</v>
      </c>
      <c r="C634" s="2">
        <v>8</v>
      </c>
      <c r="D634" s="2">
        <v>7</v>
      </c>
      <c r="E634" s="2">
        <v>6</v>
      </c>
      <c r="F634" s="2">
        <v>4</v>
      </c>
      <c r="G634" s="2">
        <v>7</v>
      </c>
      <c r="H634" s="2">
        <v>10</v>
      </c>
      <c r="I634" s="2">
        <v>3</v>
      </c>
      <c r="J634" s="2">
        <v>4</v>
      </c>
      <c r="K634" s="2" t="b">
        <f t="shared" si="31"/>
        <v>1</v>
      </c>
    </row>
    <row r="635" spans="1:11">
      <c r="A635" s="2">
        <v>10</v>
      </c>
      <c r="B635" s="2">
        <v>10</v>
      </c>
      <c r="C635" s="2">
        <v>10</v>
      </c>
      <c r="D635" s="2">
        <v>8</v>
      </c>
      <c r="E635" s="2">
        <v>6</v>
      </c>
      <c r="F635" s="2">
        <v>1</v>
      </c>
      <c r="G635" s="2">
        <v>8</v>
      </c>
      <c r="H635" s="2">
        <v>9</v>
      </c>
      <c r="I635" s="2">
        <v>1</v>
      </c>
      <c r="J635" s="2">
        <v>4</v>
      </c>
      <c r="K635" s="2" t="b">
        <f t="shared" si="31"/>
        <v>1</v>
      </c>
    </row>
    <row r="636" spans="1:11">
      <c r="A636" s="2">
        <v>10</v>
      </c>
      <c r="B636" s="2">
        <v>10</v>
      </c>
      <c r="C636" s="2">
        <v>10</v>
      </c>
      <c r="D636" s="2">
        <v>4</v>
      </c>
      <c r="E636" s="2">
        <v>8</v>
      </c>
      <c r="F636" s="2">
        <v>1</v>
      </c>
      <c r="G636" s="2">
        <v>8</v>
      </c>
      <c r="H636" s="2">
        <v>10</v>
      </c>
      <c r="I636" s="2">
        <v>1</v>
      </c>
      <c r="J636" s="2">
        <v>4</v>
      </c>
      <c r="K636" s="2" t="b">
        <f t="shared" si="31"/>
        <v>1</v>
      </c>
    </row>
    <row r="637" spans="1:11">
      <c r="A637" s="2">
        <v>10</v>
      </c>
      <c r="B637" s="2">
        <v>10</v>
      </c>
      <c r="C637" s="2">
        <v>10</v>
      </c>
      <c r="D637" s="2">
        <v>10</v>
      </c>
      <c r="E637" s="2">
        <v>10</v>
      </c>
      <c r="F637" s="2">
        <v>1</v>
      </c>
      <c r="G637" s="2">
        <v>8</v>
      </c>
      <c r="H637" s="2">
        <v>8</v>
      </c>
      <c r="I637" s="2">
        <v>8</v>
      </c>
      <c r="J637" s="2">
        <v>4</v>
      </c>
      <c r="K637" s="2" t="b">
        <f t="shared" si="31"/>
        <v>1</v>
      </c>
    </row>
    <row r="638" spans="1:11">
      <c r="A638" s="2">
        <v>5</v>
      </c>
      <c r="B638" s="2">
        <v>10</v>
      </c>
      <c r="C638" s="2">
        <v>10</v>
      </c>
      <c r="D638" s="2">
        <v>3</v>
      </c>
      <c r="E638" s="2">
        <v>8</v>
      </c>
      <c r="F638" s="2">
        <v>1</v>
      </c>
      <c r="G638" s="2">
        <v>5</v>
      </c>
      <c r="H638" s="2">
        <v>10</v>
      </c>
      <c r="I638" s="2">
        <v>3</v>
      </c>
      <c r="J638" s="2">
        <v>4</v>
      </c>
      <c r="K638" s="2" t="b">
        <f t="shared" si="31"/>
        <v>1</v>
      </c>
    </row>
    <row r="639" spans="1:11">
      <c r="A639" s="2">
        <v>10</v>
      </c>
      <c r="B639" s="2">
        <v>10</v>
      </c>
      <c r="C639" s="2">
        <v>10</v>
      </c>
      <c r="D639" s="2">
        <v>1</v>
      </c>
      <c r="E639" s="2">
        <v>6</v>
      </c>
      <c r="F639" s="2">
        <v>1</v>
      </c>
      <c r="G639" s="2">
        <v>2</v>
      </c>
      <c r="H639" s="2">
        <v>8</v>
      </c>
      <c r="I639" s="2">
        <v>1</v>
      </c>
      <c r="J639" s="2">
        <v>4</v>
      </c>
      <c r="K639" s="2" t="b">
        <f t="shared" si="31"/>
        <v>1</v>
      </c>
    </row>
    <row r="640" spans="1:11">
      <c r="A640" s="2">
        <v>4</v>
      </c>
      <c r="B640" s="2">
        <v>10</v>
      </c>
      <c r="C640" s="2">
        <v>8</v>
      </c>
      <c r="D640" s="2">
        <v>5</v>
      </c>
      <c r="E640" s="2">
        <v>4</v>
      </c>
      <c r="F640" s="2">
        <v>1</v>
      </c>
      <c r="G640" s="2">
        <v>10</v>
      </c>
      <c r="H640" s="2">
        <v>1</v>
      </c>
      <c r="I640" s="2">
        <v>1</v>
      </c>
      <c r="J640" s="2">
        <v>4</v>
      </c>
      <c r="K640" s="2" t="b">
        <f t="shared" si="31"/>
        <v>1</v>
      </c>
    </row>
    <row r="641" spans="1:11">
      <c r="A641" s="2">
        <v>10</v>
      </c>
      <c r="B641" s="2">
        <v>10</v>
      </c>
      <c r="C641" s="2">
        <v>7</v>
      </c>
      <c r="D641" s="2">
        <v>8</v>
      </c>
      <c r="E641" s="2">
        <v>7</v>
      </c>
      <c r="F641" s="2">
        <v>1</v>
      </c>
      <c r="G641" s="2">
        <v>10</v>
      </c>
      <c r="H641" s="2">
        <v>10</v>
      </c>
      <c r="I641" s="2">
        <v>3</v>
      </c>
      <c r="J641" s="2">
        <v>4</v>
      </c>
      <c r="K641" s="2" t="b">
        <f t="shared" si="31"/>
        <v>1</v>
      </c>
    </row>
    <row r="642" spans="1:11">
      <c r="A642" s="2">
        <v>6</v>
      </c>
      <c r="B642" s="2">
        <v>10</v>
      </c>
      <c r="C642" s="2">
        <v>2</v>
      </c>
      <c r="D642" s="2">
        <v>8</v>
      </c>
      <c r="E642" s="2">
        <v>10</v>
      </c>
      <c r="F642" s="2">
        <v>2</v>
      </c>
      <c r="G642" s="2">
        <v>7</v>
      </c>
      <c r="H642" s="2">
        <v>8</v>
      </c>
      <c r="I642" s="2">
        <v>10</v>
      </c>
      <c r="J642" s="2">
        <v>4</v>
      </c>
      <c r="K642" s="2" t="b">
        <f t="shared" si="31"/>
        <v>1</v>
      </c>
    </row>
    <row r="643" spans="1:11">
      <c r="A643" s="2">
        <v>5</v>
      </c>
      <c r="B643" s="2">
        <v>10</v>
      </c>
      <c r="C643" s="2">
        <v>10</v>
      </c>
      <c r="D643" s="2">
        <v>10</v>
      </c>
      <c r="E643" s="2">
        <v>5</v>
      </c>
      <c r="F643" s="2">
        <v>2</v>
      </c>
      <c r="G643" s="2">
        <v>8</v>
      </c>
      <c r="H643" s="2">
        <v>5</v>
      </c>
      <c r="I643" s="2">
        <v>1</v>
      </c>
      <c r="J643" s="2">
        <v>4</v>
      </c>
      <c r="K643" s="2" t="b">
        <f t="shared" ref="K643:K701" si="32">IF(J643=4, TRUE, FALSE)</f>
        <v>1</v>
      </c>
    </row>
    <row r="644" spans="1:11">
      <c r="A644" s="2">
        <v>5</v>
      </c>
      <c r="B644" s="2">
        <v>10</v>
      </c>
      <c r="C644" s="2">
        <v>10</v>
      </c>
      <c r="D644" s="2">
        <v>10</v>
      </c>
      <c r="E644" s="2">
        <v>10</v>
      </c>
      <c r="F644" s="2">
        <v>2</v>
      </c>
      <c r="G644" s="2">
        <v>10</v>
      </c>
      <c r="H644" s="2">
        <v>10</v>
      </c>
      <c r="I644" s="2">
        <v>10</v>
      </c>
      <c r="J644" s="2">
        <v>4</v>
      </c>
      <c r="K644" s="2" t="b">
        <f t="shared" si="32"/>
        <v>1</v>
      </c>
    </row>
    <row r="645" spans="1:11">
      <c r="A645" s="2">
        <v>5</v>
      </c>
      <c r="B645" s="2">
        <v>10</v>
      </c>
      <c r="C645" s="2">
        <v>10</v>
      </c>
      <c r="D645" s="2">
        <v>3</v>
      </c>
      <c r="E645" s="2">
        <v>7</v>
      </c>
      <c r="F645" s="2">
        <v>3</v>
      </c>
      <c r="G645" s="2">
        <v>8</v>
      </c>
      <c r="H645" s="2">
        <v>10</v>
      </c>
      <c r="I645" s="2">
        <v>2</v>
      </c>
      <c r="J645" s="2">
        <v>4</v>
      </c>
      <c r="K645" s="2" t="b">
        <f t="shared" si="32"/>
        <v>1</v>
      </c>
    </row>
    <row r="646" spans="1:11">
      <c r="A646" s="2">
        <v>5</v>
      </c>
      <c r="B646" s="2">
        <v>10</v>
      </c>
      <c r="C646" s="2">
        <v>6</v>
      </c>
      <c r="D646" s="2">
        <v>1</v>
      </c>
      <c r="E646" s="2">
        <v>10</v>
      </c>
      <c r="F646" s="2">
        <v>4</v>
      </c>
      <c r="G646" s="2">
        <v>4</v>
      </c>
      <c r="H646" s="2">
        <v>10</v>
      </c>
      <c r="I646" s="2">
        <v>10</v>
      </c>
      <c r="J646" s="2">
        <v>4</v>
      </c>
      <c r="K646" s="2" t="b">
        <f t="shared" si="32"/>
        <v>1</v>
      </c>
    </row>
    <row r="647" spans="1:11">
      <c r="A647" s="2">
        <v>6</v>
      </c>
      <c r="B647" s="2">
        <v>10</v>
      </c>
      <c r="C647" s="2">
        <v>7</v>
      </c>
      <c r="D647" s="2">
        <v>7</v>
      </c>
      <c r="E647" s="2">
        <v>6</v>
      </c>
      <c r="F647" s="2">
        <v>4</v>
      </c>
      <c r="G647" s="2">
        <v>8</v>
      </c>
      <c r="H647" s="2">
        <v>10</v>
      </c>
      <c r="I647" s="2">
        <v>2</v>
      </c>
      <c r="J647" s="2">
        <v>4</v>
      </c>
      <c r="K647" s="2" t="b">
        <f t="shared" si="32"/>
        <v>1</v>
      </c>
    </row>
    <row r="648" spans="1:11">
      <c r="A648" s="2">
        <v>8</v>
      </c>
      <c r="B648" s="2">
        <v>10</v>
      </c>
      <c r="C648" s="2">
        <v>3</v>
      </c>
      <c r="D648" s="2">
        <v>2</v>
      </c>
      <c r="E648" s="2">
        <v>6</v>
      </c>
      <c r="F648" s="2">
        <v>4</v>
      </c>
      <c r="G648" s="2">
        <v>3</v>
      </c>
      <c r="H648" s="2">
        <v>10</v>
      </c>
      <c r="I648" s="2">
        <v>1</v>
      </c>
      <c r="J648" s="2">
        <v>4</v>
      </c>
      <c r="K648" s="2" t="b">
        <f t="shared" si="32"/>
        <v>1</v>
      </c>
    </row>
    <row r="649" spans="1:11">
      <c r="A649" s="2">
        <v>8</v>
      </c>
      <c r="B649" s="2">
        <v>10</v>
      </c>
      <c r="C649" s="2">
        <v>5</v>
      </c>
      <c r="D649" s="2">
        <v>3</v>
      </c>
      <c r="E649" s="2">
        <v>8</v>
      </c>
      <c r="F649" s="2">
        <v>4</v>
      </c>
      <c r="G649" s="2">
        <v>4</v>
      </c>
      <c r="H649" s="2">
        <v>10</v>
      </c>
      <c r="I649" s="2">
        <v>3</v>
      </c>
      <c r="J649" s="2">
        <v>4</v>
      </c>
      <c r="K649" s="2" t="b">
        <f t="shared" si="32"/>
        <v>1</v>
      </c>
    </row>
    <row r="650" spans="1:11">
      <c r="A650" s="2">
        <v>10</v>
      </c>
      <c r="B650" s="2">
        <v>10</v>
      </c>
      <c r="C650" s="2">
        <v>10</v>
      </c>
      <c r="D650" s="2">
        <v>6</v>
      </c>
      <c r="E650" s="2">
        <v>8</v>
      </c>
      <c r="F650" s="2">
        <v>4</v>
      </c>
      <c r="G650" s="2">
        <v>8</v>
      </c>
      <c r="H650" s="2">
        <v>5</v>
      </c>
      <c r="I650" s="2">
        <v>1</v>
      </c>
      <c r="J650" s="2">
        <v>4</v>
      </c>
      <c r="K650" s="2" t="b">
        <f t="shared" si="32"/>
        <v>1</v>
      </c>
    </row>
    <row r="651" spans="1:11">
      <c r="A651" s="2">
        <v>10</v>
      </c>
      <c r="B651" s="2">
        <v>10</v>
      </c>
      <c r="C651" s="2">
        <v>8</v>
      </c>
      <c r="D651" s="2">
        <v>6</v>
      </c>
      <c r="E651" s="2">
        <v>4</v>
      </c>
      <c r="F651" s="2">
        <v>5</v>
      </c>
      <c r="G651" s="2">
        <v>8</v>
      </c>
      <c r="H651" s="2">
        <v>10</v>
      </c>
      <c r="I651" s="2">
        <v>1</v>
      </c>
      <c r="J651" s="2">
        <v>4</v>
      </c>
      <c r="K651" s="2" t="b">
        <f t="shared" si="32"/>
        <v>1</v>
      </c>
    </row>
    <row r="652" spans="1:11">
      <c r="A652" s="2">
        <v>10</v>
      </c>
      <c r="B652" s="2">
        <v>10</v>
      </c>
      <c r="C652" s="2">
        <v>9</v>
      </c>
      <c r="D652" s="2">
        <v>3</v>
      </c>
      <c r="E652" s="2">
        <v>7</v>
      </c>
      <c r="F652" s="2">
        <v>5</v>
      </c>
      <c r="G652" s="2">
        <v>3</v>
      </c>
      <c r="H652" s="2">
        <v>5</v>
      </c>
      <c r="I652" s="2">
        <v>1</v>
      </c>
      <c r="J652" s="2">
        <v>4</v>
      </c>
      <c r="K652" s="2" t="b">
        <f t="shared" si="32"/>
        <v>1</v>
      </c>
    </row>
    <row r="653" spans="1:11">
      <c r="A653" s="2">
        <v>9</v>
      </c>
      <c r="B653" s="2">
        <v>10</v>
      </c>
      <c r="C653" s="2">
        <v>10</v>
      </c>
      <c r="D653" s="2">
        <v>10</v>
      </c>
      <c r="E653" s="2">
        <v>10</v>
      </c>
      <c r="F653" s="2">
        <v>5</v>
      </c>
      <c r="G653" s="2">
        <v>10</v>
      </c>
      <c r="H653" s="2">
        <v>10</v>
      </c>
      <c r="I653" s="2">
        <v>10</v>
      </c>
      <c r="J653" s="2">
        <v>4</v>
      </c>
      <c r="K653" s="2" t="b">
        <f t="shared" si="32"/>
        <v>1</v>
      </c>
    </row>
    <row r="654" spans="1:11">
      <c r="A654" s="2">
        <v>8</v>
      </c>
      <c r="B654" s="2">
        <v>10</v>
      </c>
      <c r="C654" s="2">
        <v>10</v>
      </c>
      <c r="D654" s="2">
        <v>10</v>
      </c>
      <c r="E654" s="2">
        <v>7</v>
      </c>
      <c r="F654" s="2">
        <v>5</v>
      </c>
      <c r="G654" s="2">
        <v>4</v>
      </c>
      <c r="H654" s="2">
        <v>8</v>
      </c>
      <c r="I654" s="2">
        <v>7</v>
      </c>
      <c r="J654" s="2">
        <v>4</v>
      </c>
      <c r="K654" s="2" t="b">
        <f t="shared" si="32"/>
        <v>1</v>
      </c>
    </row>
    <row r="655" spans="1:11">
      <c r="A655" s="2">
        <v>10</v>
      </c>
      <c r="B655" s="2">
        <v>10</v>
      </c>
      <c r="C655" s="2">
        <v>8</v>
      </c>
      <c r="D655" s="2">
        <v>10</v>
      </c>
      <c r="E655" s="2">
        <v>6</v>
      </c>
      <c r="F655" s="2">
        <v>5</v>
      </c>
      <c r="G655" s="2">
        <v>10</v>
      </c>
      <c r="H655" s="2">
        <v>3</v>
      </c>
      <c r="I655" s="2">
        <v>1</v>
      </c>
      <c r="J655" s="2">
        <v>4</v>
      </c>
      <c r="K655" s="2" t="b">
        <f t="shared" si="32"/>
        <v>1</v>
      </c>
    </row>
    <row r="656" spans="1:11">
      <c r="A656" s="2">
        <v>5</v>
      </c>
      <c r="B656" s="2">
        <v>10</v>
      </c>
      <c r="C656" s="2">
        <v>10</v>
      </c>
      <c r="D656" s="2">
        <v>8</v>
      </c>
      <c r="E656" s="2">
        <v>5</v>
      </c>
      <c r="F656" s="2">
        <v>5</v>
      </c>
      <c r="G656" s="2">
        <v>7</v>
      </c>
      <c r="H656" s="2">
        <v>10</v>
      </c>
      <c r="I656" s="2">
        <v>1</v>
      </c>
      <c r="J656" s="2">
        <v>4</v>
      </c>
      <c r="K656" s="2" t="b">
        <f t="shared" si="32"/>
        <v>1</v>
      </c>
    </row>
    <row r="657" spans="1:11">
      <c r="A657" s="2">
        <v>5</v>
      </c>
      <c r="B657" s="2">
        <v>10</v>
      </c>
      <c r="C657" s="2">
        <v>10</v>
      </c>
      <c r="D657" s="2">
        <v>5</v>
      </c>
      <c r="E657" s="2">
        <v>4</v>
      </c>
      <c r="F657" s="2">
        <v>5</v>
      </c>
      <c r="G657" s="2">
        <v>4</v>
      </c>
      <c r="H657" s="2">
        <v>4</v>
      </c>
      <c r="I657" s="2">
        <v>1</v>
      </c>
      <c r="J657" s="2">
        <v>4</v>
      </c>
      <c r="K657" s="2" t="b">
        <f t="shared" si="32"/>
        <v>1</v>
      </c>
    </row>
    <row r="658" spans="1:11">
      <c r="A658" s="2">
        <v>8</v>
      </c>
      <c r="B658" s="2">
        <v>10</v>
      </c>
      <c r="C658" s="2">
        <v>10</v>
      </c>
      <c r="D658" s="2">
        <v>1</v>
      </c>
      <c r="E658" s="2">
        <v>3</v>
      </c>
      <c r="F658" s="2">
        <v>6</v>
      </c>
      <c r="G658" s="2">
        <v>3</v>
      </c>
      <c r="H658" s="2">
        <v>9</v>
      </c>
      <c r="I658" s="2">
        <v>1</v>
      </c>
      <c r="J658" s="2">
        <v>4</v>
      </c>
      <c r="K658" s="2" t="b">
        <f t="shared" si="32"/>
        <v>1</v>
      </c>
    </row>
    <row r="659" spans="1:11">
      <c r="A659" s="2">
        <v>9</v>
      </c>
      <c r="B659" s="2">
        <v>10</v>
      </c>
      <c r="C659" s="2">
        <v>10</v>
      </c>
      <c r="D659" s="2">
        <v>1</v>
      </c>
      <c r="E659" s="2">
        <v>10</v>
      </c>
      <c r="F659" s="2">
        <v>8</v>
      </c>
      <c r="G659" s="2">
        <v>3</v>
      </c>
      <c r="H659" s="2">
        <v>3</v>
      </c>
      <c r="I659" s="2">
        <v>1</v>
      </c>
      <c r="J659" s="2">
        <v>4</v>
      </c>
      <c r="K659" s="2" t="b">
        <f t="shared" si="32"/>
        <v>1</v>
      </c>
    </row>
    <row r="660" spans="1:11">
      <c r="A660" s="2">
        <v>10</v>
      </c>
      <c r="B660" s="2">
        <v>10</v>
      </c>
      <c r="C660" s="2">
        <v>10</v>
      </c>
      <c r="D660" s="2">
        <v>3</v>
      </c>
      <c r="E660" s="2">
        <v>10</v>
      </c>
      <c r="F660" s="2">
        <v>8</v>
      </c>
      <c r="G660" s="2">
        <v>8</v>
      </c>
      <c r="H660" s="2">
        <v>1</v>
      </c>
      <c r="I660" s="2">
        <v>1</v>
      </c>
      <c r="J660" s="2">
        <v>4</v>
      </c>
      <c r="K660" s="2" t="b">
        <f t="shared" si="32"/>
        <v>1</v>
      </c>
    </row>
    <row r="661" spans="1:11">
      <c r="A661" s="2">
        <v>10</v>
      </c>
      <c r="B661" s="2">
        <v>10</v>
      </c>
      <c r="C661" s="2">
        <v>10</v>
      </c>
      <c r="D661" s="2">
        <v>8</v>
      </c>
      <c r="E661" s="2">
        <v>6</v>
      </c>
      <c r="F661" s="2">
        <v>8</v>
      </c>
      <c r="G661" s="2">
        <v>7</v>
      </c>
      <c r="H661" s="2">
        <v>10</v>
      </c>
      <c r="I661" s="2">
        <v>1</v>
      </c>
      <c r="J661" s="2">
        <v>4</v>
      </c>
      <c r="K661" s="2" t="b">
        <f t="shared" si="32"/>
        <v>1</v>
      </c>
    </row>
    <row r="662" spans="1:11">
      <c r="A662" s="2">
        <v>8</v>
      </c>
      <c r="B662" s="2">
        <v>10</v>
      </c>
      <c r="C662" s="2">
        <v>8</v>
      </c>
      <c r="D662" s="2">
        <v>8</v>
      </c>
      <c r="E662" s="2">
        <v>4</v>
      </c>
      <c r="F662" s="2">
        <v>8</v>
      </c>
      <c r="G662" s="2">
        <v>7</v>
      </c>
      <c r="H662" s="2">
        <v>7</v>
      </c>
      <c r="I662" s="2">
        <v>1</v>
      </c>
      <c r="J662" s="2">
        <v>4</v>
      </c>
      <c r="K662" s="2" t="b">
        <f t="shared" si="32"/>
        <v>1</v>
      </c>
    </row>
    <row r="663" spans="1:11">
      <c r="A663" s="2">
        <v>9</v>
      </c>
      <c r="B663" s="2">
        <v>10</v>
      </c>
      <c r="C663" s="2">
        <v>10</v>
      </c>
      <c r="D663" s="2">
        <v>1</v>
      </c>
      <c r="E663" s="2">
        <v>10</v>
      </c>
      <c r="F663" s="2">
        <v>8</v>
      </c>
      <c r="G663" s="2">
        <v>3</v>
      </c>
      <c r="H663" s="2">
        <v>3</v>
      </c>
      <c r="I663" s="2">
        <v>1</v>
      </c>
      <c r="J663" s="2">
        <v>4</v>
      </c>
      <c r="K663" s="2" t="b">
        <f t="shared" si="32"/>
        <v>1</v>
      </c>
    </row>
    <row r="664" spans="1:11">
      <c r="A664" s="2">
        <v>3</v>
      </c>
      <c r="B664" s="2">
        <v>10</v>
      </c>
      <c r="C664" s="2">
        <v>7</v>
      </c>
      <c r="D664" s="2">
        <v>8</v>
      </c>
      <c r="E664" s="2">
        <v>5</v>
      </c>
      <c r="F664" s="2">
        <v>8</v>
      </c>
      <c r="G664" s="2">
        <v>7</v>
      </c>
      <c r="H664" s="2">
        <v>4</v>
      </c>
      <c r="I664" s="2">
        <v>1</v>
      </c>
      <c r="J664" s="2">
        <v>4</v>
      </c>
      <c r="K664" s="2" t="b">
        <f t="shared" si="32"/>
        <v>1</v>
      </c>
    </row>
    <row r="665" spans="1:11">
      <c r="A665" s="2">
        <v>8</v>
      </c>
      <c r="B665" s="2">
        <v>10</v>
      </c>
      <c r="C665" s="2">
        <v>10</v>
      </c>
      <c r="D665" s="2">
        <v>8</v>
      </c>
      <c r="E665" s="2">
        <v>6</v>
      </c>
      <c r="F665" s="2">
        <v>9</v>
      </c>
      <c r="G665" s="2">
        <v>3</v>
      </c>
      <c r="H665" s="2">
        <v>10</v>
      </c>
      <c r="I665" s="2">
        <v>10</v>
      </c>
      <c r="J665" s="2">
        <v>4</v>
      </c>
      <c r="K665" s="2" t="b">
        <f t="shared" si="32"/>
        <v>1</v>
      </c>
    </row>
    <row r="666" spans="1:11">
      <c r="A666" s="2">
        <v>3</v>
      </c>
      <c r="B666" s="2">
        <v>10</v>
      </c>
      <c r="C666" s="2">
        <v>8</v>
      </c>
      <c r="D666" s="2">
        <v>7</v>
      </c>
      <c r="E666" s="2">
        <v>6</v>
      </c>
      <c r="F666" s="2">
        <v>9</v>
      </c>
      <c r="G666" s="2">
        <v>9</v>
      </c>
      <c r="H666" s="2">
        <v>3</v>
      </c>
      <c r="I666" s="2">
        <v>8</v>
      </c>
      <c r="J666" s="2">
        <v>4</v>
      </c>
      <c r="K666" s="2" t="b">
        <f t="shared" si="32"/>
        <v>1</v>
      </c>
    </row>
    <row r="667" spans="1:11">
      <c r="A667" s="2">
        <v>8</v>
      </c>
      <c r="B667" s="2">
        <v>10</v>
      </c>
      <c r="C667" s="2">
        <v>10</v>
      </c>
      <c r="D667" s="2">
        <v>8</v>
      </c>
      <c r="E667" s="2">
        <v>7</v>
      </c>
      <c r="F667" s="2">
        <v>10</v>
      </c>
      <c r="G667" s="2">
        <v>9</v>
      </c>
      <c r="H667" s="2">
        <v>7</v>
      </c>
      <c r="I667" s="2">
        <v>1</v>
      </c>
      <c r="J667" s="2">
        <v>4</v>
      </c>
      <c r="K667" s="2" t="b">
        <f t="shared" si="32"/>
        <v>1</v>
      </c>
    </row>
    <row r="668" spans="1:11">
      <c r="A668" s="2">
        <v>6</v>
      </c>
      <c r="B668" s="2">
        <v>10</v>
      </c>
      <c r="C668" s="2">
        <v>10</v>
      </c>
      <c r="D668" s="2">
        <v>2</v>
      </c>
      <c r="E668" s="2">
        <v>8</v>
      </c>
      <c r="F668" s="2">
        <v>10</v>
      </c>
      <c r="G668" s="2">
        <v>7</v>
      </c>
      <c r="H668" s="2">
        <v>3</v>
      </c>
      <c r="I668" s="2">
        <v>3</v>
      </c>
      <c r="J668" s="2">
        <v>4</v>
      </c>
      <c r="K668" s="2" t="b">
        <f t="shared" si="32"/>
        <v>1</v>
      </c>
    </row>
    <row r="669" spans="1:11">
      <c r="A669" s="2">
        <v>10</v>
      </c>
      <c r="B669" s="2">
        <v>10</v>
      </c>
      <c r="C669" s="2">
        <v>10</v>
      </c>
      <c r="D669" s="2">
        <v>8</v>
      </c>
      <c r="E669" s="2">
        <v>2</v>
      </c>
      <c r="F669" s="2">
        <v>10</v>
      </c>
      <c r="G669" s="2">
        <v>4</v>
      </c>
      <c r="H669" s="2">
        <v>1</v>
      </c>
      <c r="I669" s="2">
        <v>1</v>
      </c>
      <c r="J669" s="2">
        <v>4</v>
      </c>
      <c r="K669" s="2" t="b">
        <f t="shared" si="32"/>
        <v>1</v>
      </c>
    </row>
    <row r="670" spans="1:11">
      <c r="A670" s="2">
        <v>10</v>
      </c>
      <c r="B670" s="2">
        <v>10</v>
      </c>
      <c r="C670" s="2">
        <v>10</v>
      </c>
      <c r="D670" s="2">
        <v>2</v>
      </c>
      <c r="E670" s="2">
        <v>10</v>
      </c>
      <c r="F670" s="2">
        <v>10</v>
      </c>
      <c r="G670" s="2">
        <v>5</v>
      </c>
      <c r="H670" s="2">
        <v>3</v>
      </c>
      <c r="I670" s="2">
        <v>3</v>
      </c>
      <c r="J670" s="2">
        <v>4</v>
      </c>
      <c r="K670" s="2" t="b">
        <f t="shared" si="32"/>
        <v>1</v>
      </c>
    </row>
    <row r="671" spans="1:11">
      <c r="A671" s="2">
        <v>5</v>
      </c>
      <c r="B671" s="2">
        <v>10</v>
      </c>
      <c r="C671" s="2">
        <v>8</v>
      </c>
      <c r="D671" s="2">
        <v>10</v>
      </c>
      <c r="E671" s="2">
        <v>8</v>
      </c>
      <c r="F671" s="2">
        <v>10</v>
      </c>
      <c r="G671" s="2">
        <v>3</v>
      </c>
      <c r="H671" s="2">
        <v>6</v>
      </c>
      <c r="I671" s="2">
        <v>3</v>
      </c>
      <c r="J671" s="2">
        <v>4</v>
      </c>
      <c r="K671" s="2" t="b">
        <f t="shared" si="32"/>
        <v>1</v>
      </c>
    </row>
    <row r="672" spans="1:11">
      <c r="A672" s="2">
        <v>6</v>
      </c>
      <c r="B672" s="2">
        <v>10</v>
      </c>
      <c r="C672" s="2">
        <v>10</v>
      </c>
      <c r="D672" s="2">
        <v>10</v>
      </c>
      <c r="E672" s="2">
        <v>8</v>
      </c>
      <c r="F672" s="2">
        <v>10</v>
      </c>
      <c r="G672" s="2">
        <v>10</v>
      </c>
      <c r="H672" s="2">
        <v>10</v>
      </c>
      <c r="I672" s="2">
        <v>7</v>
      </c>
      <c r="J672" s="2">
        <v>4</v>
      </c>
      <c r="K672" s="2" t="b">
        <f t="shared" si="32"/>
        <v>1</v>
      </c>
    </row>
    <row r="673" spans="1:11">
      <c r="A673" s="2">
        <v>5</v>
      </c>
      <c r="B673" s="2">
        <v>10</v>
      </c>
      <c r="C673" s="2">
        <v>10</v>
      </c>
      <c r="D673" s="2">
        <v>9</v>
      </c>
      <c r="E673" s="2">
        <v>6</v>
      </c>
      <c r="F673" s="2">
        <v>10</v>
      </c>
      <c r="G673" s="2">
        <v>7</v>
      </c>
      <c r="H673" s="2">
        <v>10</v>
      </c>
      <c r="I673" s="2">
        <v>5</v>
      </c>
      <c r="J673" s="2">
        <v>4</v>
      </c>
      <c r="K673" s="2" t="b">
        <f t="shared" si="32"/>
        <v>1</v>
      </c>
    </row>
    <row r="674" spans="1:11">
      <c r="A674" s="2">
        <v>8</v>
      </c>
      <c r="B674" s="2">
        <v>10</v>
      </c>
      <c r="C674" s="2">
        <v>10</v>
      </c>
      <c r="D674" s="2">
        <v>10</v>
      </c>
      <c r="E674" s="2">
        <v>5</v>
      </c>
      <c r="F674" s="2">
        <v>10</v>
      </c>
      <c r="G674" s="2">
        <v>8</v>
      </c>
      <c r="H674" s="2">
        <v>10</v>
      </c>
      <c r="I674" s="2">
        <v>6</v>
      </c>
      <c r="J674" s="2">
        <v>4</v>
      </c>
      <c r="K674" s="2" t="b">
        <f t="shared" si="32"/>
        <v>1</v>
      </c>
    </row>
    <row r="675" spans="1:11">
      <c r="A675" s="2">
        <v>10</v>
      </c>
      <c r="B675" s="2">
        <v>10</v>
      </c>
      <c r="C675" s="2">
        <v>10</v>
      </c>
      <c r="D675" s="2">
        <v>10</v>
      </c>
      <c r="E675" s="2">
        <v>7</v>
      </c>
      <c r="F675" s="2">
        <v>10</v>
      </c>
      <c r="G675" s="2">
        <v>7</v>
      </c>
      <c r="H675" s="2">
        <v>10</v>
      </c>
      <c r="I675" s="2">
        <v>4</v>
      </c>
      <c r="J675" s="2">
        <v>4</v>
      </c>
      <c r="K675" s="2" t="b">
        <f t="shared" si="32"/>
        <v>1</v>
      </c>
    </row>
    <row r="676" spans="1:11">
      <c r="A676" s="2">
        <v>10</v>
      </c>
      <c r="B676" s="2">
        <v>10</v>
      </c>
      <c r="C676" s="2">
        <v>10</v>
      </c>
      <c r="D676" s="2">
        <v>10</v>
      </c>
      <c r="E676" s="2">
        <v>3</v>
      </c>
      <c r="F676" s="2">
        <v>10</v>
      </c>
      <c r="G676" s="2">
        <v>10</v>
      </c>
      <c r="H676" s="2">
        <v>6</v>
      </c>
      <c r="I676" s="2">
        <v>1</v>
      </c>
      <c r="J676" s="2">
        <v>4</v>
      </c>
      <c r="K676" s="2" t="b">
        <f t="shared" si="32"/>
        <v>1</v>
      </c>
    </row>
    <row r="677" spans="1:11">
      <c r="A677" s="2">
        <v>10</v>
      </c>
      <c r="B677" s="2">
        <v>10</v>
      </c>
      <c r="C677" s="2">
        <v>10</v>
      </c>
      <c r="D677" s="2">
        <v>3</v>
      </c>
      <c r="E677" s="2">
        <v>10</v>
      </c>
      <c r="F677" s="2">
        <v>10</v>
      </c>
      <c r="G677" s="2">
        <v>9</v>
      </c>
      <c r="H677" s="2">
        <v>10</v>
      </c>
      <c r="I677" s="2">
        <v>1</v>
      </c>
      <c r="J677" s="2">
        <v>4</v>
      </c>
      <c r="K677" s="2" t="b">
        <f t="shared" si="32"/>
        <v>1</v>
      </c>
    </row>
    <row r="678" spans="1:11">
      <c r="A678" s="2">
        <v>8</v>
      </c>
      <c r="B678" s="2">
        <v>10</v>
      </c>
      <c r="C678" s="2">
        <v>10</v>
      </c>
      <c r="D678" s="2">
        <v>8</v>
      </c>
      <c r="E678" s="2">
        <v>5</v>
      </c>
      <c r="F678" s="2">
        <v>10</v>
      </c>
      <c r="G678" s="2">
        <v>7</v>
      </c>
      <c r="H678" s="2">
        <v>8</v>
      </c>
      <c r="I678" s="2">
        <v>1</v>
      </c>
      <c r="J678" s="2">
        <v>4</v>
      </c>
      <c r="K678" s="2" t="b">
        <f t="shared" si="32"/>
        <v>1</v>
      </c>
    </row>
    <row r="679" spans="1:11">
      <c r="A679" s="2">
        <v>6</v>
      </c>
      <c r="B679" s="2">
        <v>10</v>
      </c>
      <c r="C679" s="2">
        <v>10</v>
      </c>
      <c r="D679" s="2">
        <v>2</v>
      </c>
      <c r="E679" s="2">
        <v>8</v>
      </c>
      <c r="F679" s="2">
        <v>10</v>
      </c>
      <c r="G679" s="2">
        <v>7</v>
      </c>
      <c r="H679" s="2">
        <v>3</v>
      </c>
      <c r="I679" s="2">
        <v>3</v>
      </c>
      <c r="J679" s="2">
        <v>4</v>
      </c>
      <c r="K679" s="2" t="b">
        <f t="shared" si="32"/>
        <v>1</v>
      </c>
    </row>
    <row r="680" spans="1:11">
      <c r="A680" s="2">
        <v>5</v>
      </c>
      <c r="B680" s="2">
        <v>10</v>
      </c>
      <c r="C680" s="2">
        <v>10</v>
      </c>
      <c r="D680" s="2">
        <v>6</v>
      </c>
      <c r="E680" s="2">
        <v>10</v>
      </c>
      <c r="F680" s="2">
        <v>10</v>
      </c>
      <c r="G680" s="2">
        <v>10</v>
      </c>
      <c r="H680" s="2">
        <v>6</v>
      </c>
      <c r="I680" s="2">
        <v>5</v>
      </c>
      <c r="J680" s="2">
        <v>4</v>
      </c>
      <c r="K680" s="2" t="b">
        <f t="shared" si="32"/>
        <v>1</v>
      </c>
    </row>
    <row r="681" spans="1:11">
      <c r="A681" s="2">
        <v>10</v>
      </c>
      <c r="B681" s="2">
        <v>10</v>
      </c>
      <c r="C681" s="2">
        <v>6</v>
      </c>
      <c r="D681" s="2">
        <v>3</v>
      </c>
      <c r="E681" s="2">
        <v>3</v>
      </c>
      <c r="F681" s="2">
        <v>10</v>
      </c>
      <c r="G681" s="2">
        <v>4</v>
      </c>
      <c r="H681" s="2">
        <v>3</v>
      </c>
      <c r="I681" s="2">
        <v>2</v>
      </c>
      <c r="J681" s="2">
        <v>4</v>
      </c>
      <c r="K681" s="2" t="b">
        <f t="shared" si="32"/>
        <v>1</v>
      </c>
    </row>
    <row r="682" spans="1:11">
      <c r="A682" s="2">
        <v>8</v>
      </c>
      <c r="B682" s="2">
        <v>10</v>
      </c>
      <c r="C682" s="2">
        <v>10</v>
      </c>
      <c r="D682" s="2">
        <v>10</v>
      </c>
      <c r="E682" s="2">
        <v>8</v>
      </c>
      <c r="F682" s="2">
        <v>10</v>
      </c>
      <c r="G682" s="2">
        <v>10</v>
      </c>
      <c r="H682" s="2">
        <v>7</v>
      </c>
      <c r="I682" s="2">
        <v>3</v>
      </c>
      <c r="J682" s="2">
        <v>4</v>
      </c>
      <c r="K682" s="2" t="b">
        <f t="shared" si="32"/>
        <v>1</v>
      </c>
    </row>
    <row r="683" spans="1:11">
      <c r="A683" s="2">
        <v>10</v>
      </c>
      <c r="B683" s="2">
        <v>10</v>
      </c>
      <c r="C683" s="2">
        <v>10</v>
      </c>
      <c r="D683" s="2">
        <v>10</v>
      </c>
      <c r="E683" s="2">
        <v>10</v>
      </c>
      <c r="F683" s="2">
        <v>10</v>
      </c>
      <c r="G683" s="2">
        <v>4</v>
      </c>
      <c r="H683" s="2">
        <v>10</v>
      </c>
      <c r="I683" s="2">
        <v>10</v>
      </c>
      <c r="J683" s="2">
        <v>4</v>
      </c>
      <c r="K683" s="2" t="b">
        <f t="shared" si="32"/>
        <v>1</v>
      </c>
    </row>
    <row r="684" spans="1:11">
      <c r="A684" s="2">
        <v>10</v>
      </c>
      <c r="B684" s="2">
        <v>10</v>
      </c>
      <c r="C684" s="2">
        <v>10</v>
      </c>
      <c r="D684" s="2">
        <v>7</v>
      </c>
      <c r="E684" s="2">
        <v>9</v>
      </c>
      <c r="F684" s="2">
        <v>10</v>
      </c>
      <c r="G684" s="2">
        <v>7</v>
      </c>
      <c r="H684" s="2">
        <v>10</v>
      </c>
      <c r="I684" s="2">
        <v>10</v>
      </c>
      <c r="J684" s="2">
        <v>4</v>
      </c>
      <c r="K684" s="2" t="b">
        <f t="shared" si="32"/>
        <v>1</v>
      </c>
    </row>
    <row r="685" spans="1:11">
      <c r="A685" s="2">
        <v>8</v>
      </c>
      <c r="B685" s="2">
        <v>10</v>
      </c>
      <c r="C685" s="2">
        <v>10</v>
      </c>
      <c r="D685" s="2">
        <v>7</v>
      </c>
      <c r="E685" s="2">
        <v>10</v>
      </c>
      <c r="F685" s="2">
        <v>10</v>
      </c>
      <c r="G685" s="2">
        <v>7</v>
      </c>
      <c r="H685" s="2">
        <v>3</v>
      </c>
      <c r="I685" s="2">
        <v>8</v>
      </c>
      <c r="J685" s="2">
        <v>4</v>
      </c>
      <c r="K685" s="2" t="b">
        <f t="shared" si="32"/>
        <v>1</v>
      </c>
    </row>
    <row r="686" spans="1:11">
      <c r="A686" s="2">
        <v>6</v>
      </c>
      <c r="B686" s="2">
        <v>10</v>
      </c>
      <c r="C686" s="2">
        <v>10</v>
      </c>
      <c r="D686" s="2">
        <v>10</v>
      </c>
      <c r="E686" s="2">
        <v>10</v>
      </c>
      <c r="F686" s="2">
        <v>10</v>
      </c>
      <c r="G686" s="2">
        <v>8</v>
      </c>
      <c r="H686" s="2">
        <v>10</v>
      </c>
      <c r="I686" s="2">
        <v>10</v>
      </c>
      <c r="J686" s="2">
        <v>4</v>
      </c>
      <c r="K686" s="2" t="b">
        <f t="shared" si="32"/>
        <v>1</v>
      </c>
    </row>
    <row r="687" spans="1:11">
      <c r="A687" s="2">
        <v>3</v>
      </c>
      <c r="B687" s="2">
        <v>10</v>
      </c>
      <c r="C687" s="2">
        <v>3</v>
      </c>
      <c r="D687" s="2">
        <v>10</v>
      </c>
      <c r="E687" s="2">
        <v>6</v>
      </c>
      <c r="F687" s="2">
        <v>10</v>
      </c>
      <c r="G687" s="2">
        <v>5</v>
      </c>
      <c r="H687" s="2">
        <v>1</v>
      </c>
      <c r="I687" s="2">
        <v>4</v>
      </c>
      <c r="J687" s="2">
        <v>4</v>
      </c>
      <c r="K687" s="2" t="b">
        <f t="shared" si="32"/>
        <v>1</v>
      </c>
    </row>
    <row r="688" spans="1:11">
      <c r="A688" s="2">
        <v>6</v>
      </c>
      <c r="B688" s="2">
        <v>10</v>
      </c>
      <c r="C688" s="2">
        <v>10</v>
      </c>
      <c r="D688" s="2">
        <v>10</v>
      </c>
      <c r="E688" s="2">
        <v>8</v>
      </c>
      <c r="F688" s="2">
        <v>10</v>
      </c>
      <c r="G688" s="2">
        <v>7</v>
      </c>
      <c r="H688" s="2">
        <v>10</v>
      </c>
      <c r="I688" s="2">
        <v>7</v>
      </c>
      <c r="J688" s="2">
        <v>4</v>
      </c>
      <c r="K688" s="2" t="b">
        <f t="shared" si="32"/>
        <v>1</v>
      </c>
    </row>
    <row r="689" spans="1:11">
      <c r="A689" s="2">
        <v>10</v>
      </c>
      <c r="B689" s="2">
        <v>10</v>
      </c>
      <c r="C689" s="2">
        <v>10</v>
      </c>
      <c r="D689" s="2">
        <v>7</v>
      </c>
      <c r="E689" s="2">
        <v>10</v>
      </c>
      <c r="F689" s="2">
        <v>10</v>
      </c>
      <c r="G689" s="2">
        <v>8</v>
      </c>
      <c r="H689" s="2">
        <v>2</v>
      </c>
      <c r="I689" s="2">
        <v>1</v>
      </c>
      <c r="J689" s="2">
        <v>4</v>
      </c>
      <c r="K689" s="2" t="b">
        <f t="shared" si="32"/>
        <v>1</v>
      </c>
    </row>
    <row r="690" spans="1:11">
      <c r="A690" s="2">
        <v>9</v>
      </c>
      <c r="B690" s="2">
        <v>10</v>
      </c>
      <c r="C690" s="2">
        <v>10</v>
      </c>
      <c r="D690" s="2">
        <v>10</v>
      </c>
      <c r="E690" s="2">
        <v>10</v>
      </c>
      <c r="F690" s="2">
        <v>10</v>
      </c>
      <c r="G690" s="2">
        <v>10</v>
      </c>
      <c r="H690" s="2">
        <v>10</v>
      </c>
      <c r="I690" s="2">
        <v>1</v>
      </c>
      <c r="J690" s="2">
        <v>4</v>
      </c>
      <c r="K690" s="2" t="b">
        <f t="shared" si="32"/>
        <v>1</v>
      </c>
    </row>
    <row r="691" spans="1:11">
      <c r="A691" s="2">
        <v>10</v>
      </c>
      <c r="B691" s="2">
        <v>10</v>
      </c>
      <c r="C691" s="2">
        <v>10</v>
      </c>
      <c r="D691" s="2">
        <v>10</v>
      </c>
      <c r="E691" s="2">
        <v>6</v>
      </c>
      <c r="F691" s="2">
        <v>10</v>
      </c>
      <c r="G691" s="2">
        <v>8</v>
      </c>
      <c r="H691" s="2">
        <v>1</v>
      </c>
      <c r="I691" s="2">
        <v>5</v>
      </c>
      <c r="J691" s="2">
        <v>4</v>
      </c>
      <c r="K691" s="2" t="b">
        <f t="shared" si="32"/>
        <v>1</v>
      </c>
    </row>
    <row r="692" spans="1:11">
      <c r="A692" s="2">
        <v>5</v>
      </c>
      <c r="B692" s="2">
        <v>10</v>
      </c>
      <c r="C692" s="2">
        <v>10</v>
      </c>
      <c r="D692" s="2">
        <v>10</v>
      </c>
      <c r="E692" s="2">
        <v>6</v>
      </c>
      <c r="F692" s="2">
        <v>10</v>
      </c>
      <c r="G692" s="2">
        <v>6</v>
      </c>
      <c r="H692" s="2">
        <v>5</v>
      </c>
      <c r="I692" s="2">
        <v>2</v>
      </c>
      <c r="J692" s="2">
        <v>4</v>
      </c>
      <c r="K692" s="2" t="b">
        <f t="shared" si="32"/>
        <v>1</v>
      </c>
    </row>
    <row r="693" spans="1:11">
      <c r="A693" s="2">
        <v>4</v>
      </c>
      <c r="B693" s="2">
        <v>10</v>
      </c>
      <c r="C693" s="2">
        <v>4</v>
      </c>
      <c r="D693" s="2">
        <v>7</v>
      </c>
      <c r="E693" s="2">
        <v>3</v>
      </c>
      <c r="F693" s="2">
        <v>10</v>
      </c>
      <c r="G693" s="2">
        <v>9</v>
      </c>
      <c r="H693" s="2">
        <v>10</v>
      </c>
      <c r="I693" s="2">
        <v>1</v>
      </c>
      <c r="J693" s="2">
        <v>4</v>
      </c>
      <c r="K693" s="2" t="b">
        <f t="shared" si="32"/>
        <v>1</v>
      </c>
    </row>
    <row r="694" spans="1:11">
      <c r="A694" s="2">
        <v>6</v>
      </c>
      <c r="B694" s="2">
        <v>10</v>
      </c>
      <c r="C694" s="2">
        <v>10</v>
      </c>
      <c r="D694" s="2">
        <v>10</v>
      </c>
      <c r="E694" s="2">
        <v>4</v>
      </c>
      <c r="F694" s="2">
        <v>10</v>
      </c>
      <c r="G694" s="2">
        <v>7</v>
      </c>
      <c r="H694" s="2">
        <v>10</v>
      </c>
      <c r="I694" s="2">
        <v>1</v>
      </c>
      <c r="J694" s="2">
        <v>4</v>
      </c>
      <c r="K694" s="2" t="b">
        <f t="shared" si="32"/>
        <v>1</v>
      </c>
    </row>
    <row r="695" spans="1:11">
      <c r="A695" s="2">
        <v>8</v>
      </c>
      <c r="B695" s="2">
        <v>10</v>
      </c>
      <c r="C695" s="2">
        <v>4</v>
      </c>
      <c r="D695" s="2">
        <v>4</v>
      </c>
      <c r="E695" s="2">
        <v>8</v>
      </c>
      <c r="F695" s="2">
        <v>10</v>
      </c>
      <c r="G695" s="2">
        <v>8</v>
      </c>
      <c r="H695" s="2">
        <v>2</v>
      </c>
      <c r="I695" s="2">
        <v>1</v>
      </c>
      <c r="J695" s="2">
        <v>4</v>
      </c>
      <c r="K695" s="2" t="b">
        <f t="shared" si="32"/>
        <v>1</v>
      </c>
    </row>
    <row r="696" spans="1:11">
      <c r="A696" s="2">
        <v>6</v>
      </c>
      <c r="B696" s="2">
        <v>10</v>
      </c>
      <c r="C696" s="2">
        <v>5</v>
      </c>
      <c r="D696" s="2">
        <v>5</v>
      </c>
      <c r="E696" s="2">
        <v>4</v>
      </c>
      <c r="F696" s="2">
        <v>10</v>
      </c>
      <c r="G696" s="2">
        <v>6</v>
      </c>
      <c r="H696" s="2">
        <v>10</v>
      </c>
      <c r="I696" s="2">
        <v>1</v>
      </c>
      <c r="J696" s="2">
        <v>4</v>
      </c>
      <c r="K696" s="2" t="b">
        <f t="shared" si="32"/>
        <v>1</v>
      </c>
    </row>
    <row r="697" spans="1:11">
      <c r="A697" s="2">
        <v>8</v>
      </c>
      <c r="B697" s="2">
        <v>10</v>
      </c>
      <c r="C697" s="2">
        <v>10</v>
      </c>
      <c r="D697" s="2">
        <v>10</v>
      </c>
      <c r="E697" s="2">
        <v>6</v>
      </c>
      <c r="F697" s="2">
        <v>10</v>
      </c>
      <c r="G697" s="2">
        <v>10</v>
      </c>
      <c r="H697" s="2">
        <v>10</v>
      </c>
      <c r="I697" s="2">
        <v>1</v>
      </c>
      <c r="J697" s="2">
        <v>4</v>
      </c>
      <c r="K697" s="2" t="b">
        <f t="shared" si="32"/>
        <v>1</v>
      </c>
    </row>
    <row r="698" spans="1:11">
      <c r="A698" s="2">
        <v>5</v>
      </c>
      <c r="B698" s="2">
        <v>10</v>
      </c>
      <c r="C698" s="2">
        <v>10</v>
      </c>
      <c r="D698" s="2">
        <v>10</v>
      </c>
      <c r="E698" s="2">
        <v>10</v>
      </c>
      <c r="F698" s="2">
        <v>10</v>
      </c>
      <c r="G698" s="2">
        <v>10</v>
      </c>
      <c r="H698" s="2">
        <v>1</v>
      </c>
      <c r="I698" s="2">
        <v>1</v>
      </c>
      <c r="J698" s="2">
        <v>4</v>
      </c>
      <c r="K698" s="2" t="b">
        <f t="shared" si="32"/>
        <v>1</v>
      </c>
    </row>
    <row r="699" spans="1:11">
      <c r="A699" s="2">
        <v>8</v>
      </c>
      <c r="B699" s="2">
        <v>10</v>
      </c>
      <c r="C699" s="2">
        <v>10</v>
      </c>
      <c r="D699" s="2">
        <v>10</v>
      </c>
      <c r="E699" s="2">
        <v>6</v>
      </c>
      <c r="F699" s="2">
        <v>10</v>
      </c>
      <c r="G699" s="2">
        <v>10</v>
      </c>
      <c r="H699" s="2">
        <v>10</v>
      </c>
      <c r="I699" s="2">
        <v>10</v>
      </c>
      <c r="J699" s="2">
        <v>4</v>
      </c>
      <c r="K699" s="2" t="b">
        <f t="shared" si="32"/>
        <v>1</v>
      </c>
    </row>
    <row r="700" spans="1:11">
      <c r="A700" s="2">
        <v>10</v>
      </c>
      <c r="B700" s="2">
        <v>10</v>
      </c>
      <c r="C700" s="2">
        <v>10</v>
      </c>
      <c r="D700" s="2">
        <v>10</v>
      </c>
      <c r="E700" s="2">
        <v>5</v>
      </c>
      <c r="F700" s="2">
        <v>10</v>
      </c>
      <c r="G700" s="2">
        <v>10</v>
      </c>
      <c r="H700" s="2">
        <v>10</v>
      </c>
      <c r="I700" s="2">
        <v>7</v>
      </c>
      <c r="J700" s="2">
        <v>4</v>
      </c>
      <c r="K700" s="2" t="b">
        <f t="shared" si="32"/>
        <v>1</v>
      </c>
    </row>
    <row r="701" spans="1:11">
      <c r="A701" s="2">
        <v>5</v>
      </c>
      <c r="B701" s="2">
        <v>10</v>
      </c>
      <c r="C701" s="2">
        <v>10</v>
      </c>
      <c r="D701" s="2">
        <v>10</v>
      </c>
      <c r="E701" s="2">
        <v>4</v>
      </c>
      <c r="F701" s="2">
        <v>10</v>
      </c>
      <c r="G701" s="2">
        <v>5</v>
      </c>
      <c r="H701" s="2">
        <v>6</v>
      </c>
      <c r="I701" s="2">
        <v>3</v>
      </c>
      <c r="J701" s="2">
        <v>4</v>
      </c>
      <c r="K701" s="2" t="b">
        <f t="shared" si="32"/>
        <v>1</v>
      </c>
    </row>
  </sheetData>
  <mergeCells count="1">
    <mergeCell ref="N1:V1"/>
  </mergeCells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zoomScale="50" zoomScaleNormal="50" zoomScalePageLayoutView="50" workbookViewId="0">
      <selection activeCell="AH26" sqref="AH26"/>
    </sheetView>
  </sheetViews>
  <sheetFormatPr baseColWidth="10" defaultColWidth="8.83203125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Attributes</vt:lpstr>
      <vt:lpstr>Calculating Information Gain</vt:lpstr>
      <vt:lpstr>Decision Tree</vt:lpstr>
    </vt:vector>
  </TitlesOfParts>
  <Company>University of Waterloo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Watt</dc:creator>
  <cp:lastModifiedBy>Youth Biodiversity</cp:lastModifiedBy>
  <dcterms:created xsi:type="dcterms:W3CDTF">2012-11-21T23:11:21Z</dcterms:created>
  <dcterms:modified xsi:type="dcterms:W3CDTF">2015-05-18T01:21:00Z</dcterms:modified>
</cp:coreProperties>
</file>